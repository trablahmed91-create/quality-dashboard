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hp\Desktop\my_dashboard\"/>
    </mc:Choice>
  </mc:AlternateContent>
  <xr:revisionPtr revIDLastSave="0" documentId="13_ncr:1_{DC6492F5-9A5D-4CB6-9AC5-FE623D1379EA}" xr6:coauthVersionLast="47" xr6:coauthVersionMax="47" xr10:uidLastSave="{00000000-0000-0000-0000-000000000000}"/>
  <bookViews>
    <workbookView xWindow="-108" yWindow="-108" windowWidth="23256" windowHeight="12456" activeTab="1" xr2:uid="{00000000-000D-0000-FFFF-FFFF00000000}"/>
  </bookViews>
  <sheets>
    <sheet name="FCA claims REF" sheetId="10" r:id="rId1"/>
    <sheet name="Total Claims April-2025," sheetId="9" r:id="rId2"/>
    <sheet name="Feuil1" sheetId="11" r:id="rId3"/>
  </sheets>
  <definedNames>
    <definedName name="_xlnm._FilterDatabase" localSheetId="0" hidden="1">'FCA claims REF'!$C$3:$H$14</definedName>
    <definedName name="_xlnm._FilterDatabase" localSheetId="1" hidden="1">'Total Claims April-2025,'!$A$6:$P$123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9" l="1"/>
  <c r="I4" i="9"/>
</calcChain>
</file>

<file path=xl/sharedStrings.xml><?xml version="1.0" encoding="utf-8"?>
<sst xmlns="http://schemas.openxmlformats.org/spreadsheetml/2006/main" count="999" uniqueCount="455">
  <si>
    <t>PZ55V6T</t>
  </si>
  <si>
    <t xml:space="preserve">Stellantis </t>
  </si>
  <si>
    <t>Closed</t>
  </si>
  <si>
    <t>SK85V6T</t>
  </si>
  <si>
    <t>TK2025000007076</t>
  </si>
  <si>
    <t xml:space="preserve"> SL91J2U0T</t>
  </si>
  <si>
    <t xml:space="preserve"> TK2025000007248</t>
  </si>
  <si>
    <t>PZ49U6U0T</t>
  </si>
  <si>
    <t>We kindly ask the cross-out of this ticket.</t>
  </si>
  <si>
    <t xml:space="preserve">PZ68T0T </t>
  </si>
  <si>
    <t>SM17E2T/W</t>
  </si>
  <si>
    <t xml:space="preserve">Warranty                     </t>
  </si>
  <si>
    <t xml:space="preserve">Warranty                      </t>
  </si>
  <si>
    <t>QA18E1T</t>
  </si>
  <si>
    <t>Setting up a specific support for packaging the parts                                                   Update the SOP Work instruction                             Training of the operators on the new work instruction</t>
  </si>
  <si>
    <t>SI52X2S</t>
  </si>
  <si>
    <t xml:space="preserve"> TK2023000015214</t>
  </si>
  <si>
    <t xml:space="preserve">Warranty </t>
  </si>
  <si>
    <t>Ensure the checking of the existing stock with checking tool                                                          Add a new tooling for marquing with an adequ ate tooling which guarantee that the shell is inserted in the correct position                                        Establish a quality instruction which explains when the part is with the adequate inserted shell and when not</t>
  </si>
  <si>
    <t>SK75E4T</t>
  </si>
  <si>
    <t>SK46G5S</t>
  </si>
  <si>
    <t>TK2025000018398</t>
  </si>
  <si>
    <t>SL91J2U0T</t>
  </si>
  <si>
    <t>Ticket number</t>
  </si>
  <si>
    <t xml:space="preserve">Date </t>
  </si>
  <si>
    <t>code</t>
  </si>
  <si>
    <t>Customer</t>
  </si>
  <si>
    <t>Claim statue</t>
  </si>
  <si>
    <t xml:space="preserve">Defect </t>
  </si>
  <si>
    <t xml:space="preserve">Statue </t>
  </si>
  <si>
    <t xml:space="preserve">Warranty                       </t>
  </si>
  <si>
    <t>Modification of the locking system condition and SOP (Standard Operating Procedure modification / Creation of a CSM machine tooling verification checklist during start-up and ensuring training of Ops / Adding the flat position control instruction (PDC + APP 831 ice) and ensuring the training of OPs / Design and implementation of a punching system on the bending machine to mark the parts after 100% inspection using the control gauge / Update of SOP(Standard Operating Procedure) after the closure of previous actions + training of Ops</t>
  </si>
  <si>
    <t>Official claim</t>
  </si>
  <si>
    <t>official claim</t>
  </si>
  <si>
    <t>IC</t>
  </si>
  <si>
    <t>CREATION DATE</t>
  </si>
  <si>
    <t>PLANT IRF</t>
  </si>
  <si>
    <t>ISSUE TYPE</t>
  </si>
  <si>
    <t>ISSUE CODE</t>
  </si>
  <si>
    <t>144 - FIP</t>
  </si>
  <si>
    <t>TK2025000021558</t>
  </si>
  <si>
    <t>N</t>
  </si>
  <si>
    <t>QAN</t>
  </si>
  <si>
    <t>53 - QAN D - SINGLE CASE NC - REWORK TIME &lt; 10 MN (EX 03)</t>
  </si>
  <si>
    <t>Y</t>
  </si>
  <si>
    <t>149 - VAL DI SANGRO - SEVEL</t>
  </si>
  <si>
    <t>139 - FMA (PRATOLA SERRA AV)</t>
  </si>
  <si>
    <t>57 - QAN G1 - NC - SINGLE REWORK &gt;10 MN OR MULTIPLE &gt; 20 MN (EX 05)</t>
  </si>
  <si>
    <t>TK2025000018819</t>
  </si>
  <si>
    <t>54 - QAN E1 - Multiple non-conformities - rework time &lt; 20 mn</t>
  </si>
  <si>
    <t>141 - MIRAFIORI CARROZZERIA</t>
  </si>
  <si>
    <t>TK2025000014546</t>
  </si>
  <si>
    <t>TK2025000007248</t>
  </si>
  <si>
    <t>05 - Quality problem of moderate extent</t>
  </si>
  <si>
    <t>149122027R</t>
  </si>
  <si>
    <t>144980195R</t>
  </si>
  <si>
    <t>118295420R</t>
  </si>
  <si>
    <t>208746583R</t>
  </si>
  <si>
    <t xml:space="preserve">STLA SEVEL </t>
  </si>
  <si>
    <t xml:space="preserve">PZ57Q2U0T </t>
  </si>
  <si>
    <t xml:space="preserve">OP Mobility </t>
  </si>
  <si>
    <t>SNCR N°200037520</t>
  </si>
  <si>
    <t>QAN 1076</t>
  </si>
  <si>
    <t>QAN 1091</t>
  </si>
  <si>
    <t>QAN 1508</t>
  </si>
  <si>
    <t>QAN 1725</t>
  </si>
  <si>
    <t>STLA GLIWICE</t>
  </si>
  <si>
    <t>STLA TRNAVA</t>
  </si>
  <si>
    <t xml:space="preserve">Closed </t>
  </si>
  <si>
    <t xml:space="preserve">Quality Alert </t>
  </si>
  <si>
    <t>NA</t>
  </si>
  <si>
    <t>QAN 764 2025 6286</t>
  </si>
  <si>
    <t>Crossed out</t>
  </si>
  <si>
    <t xml:space="preserve">Open </t>
  </si>
  <si>
    <t xml:space="preserve">Waiting for the supplier feedback about this defect </t>
  </si>
  <si>
    <t xml:space="preserve">Official claim </t>
  </si>
  <si>
    <t xml:space="preserve">STLA Mirafiori </t>
  </si>
  <si>
    <t>Creation of a mechanical locking system for tube holding at the level of the heluim tester grating, Update the SOP to reflect the new locking system and specifying that only one O-ring must be assembled on the AC tube,  Train the operators aaccordingly on the updated SOP</t>
  </si>
  <si>
    <t>Q202500828432</t>
  </si>
  <si>
    <t>Renault PITESTI</t>
  </si>
  <si>
    <t xml:space="preserve">Fix the misalignment / Update the parameters / machine teaching / Update the ISQ with the new defect </t>
  </si>
  <si>
    <t>Renault VALLADOLID</t>
  </si>
  <si>
    <t>Q202500826527</t>
  </si>
  <si>
    <t xml:space="preserve"> Q202500827112</t>
  </si>
  <si>
    <t>PZ22C4T</t>
  </si>
  <si>
    <t xml:space="preserve">Renault Tanger </t>
  </si>
  <si>
    <t>Q202500811181</t>
  </si>
  <si>
    <t>Renault PALENCIA</t>
  </si>
  <si>
    <t xml:space="preserve">STLA TRNAVA </t>
  </si>
  <si>
    <t xml:space="preserve">STLA TRNAVA  </t>
  </si>
  <si>
    <t>Q202500788584</t>
  </si>
  <si>
    <t>PX45B2T</t>
  </si>
  <si>
    <t>Renault CLEON</t>
  </si>
  <si>
    <t>PY82L3T</t>
  </si>
  <si>
    <t>Q202500786728</t>
  </si>
  <si>
    <t xml:space="preserve">Renault VALLADOLID </t>
  </si>
  <si>
    <t>leak on the valve</t>
  </si>
  <si>
    <t>the tooling to close the both side of the valve is misaligned</t>
  </si>
  <si>
    <t xml:space="preserve">Action plan was shared </t>
  </si>
  <si>
    <t>Q202500786726</t>
  </si>
  <si>
    <t>PY84K3T</t>
  </si>
  <si>
    <t>The method of Handling not specified proprely in the work instruction/ 
Control instruction does not enable detection of defect</t>
  </si>
  <si>
    <t>PZ52G1T</t>
  </si>
  <si>
    <t>Signalisation</t>
  </si>
  <si>
    <t xml:space="preserve">Waiting for the supplier final analysis </t>
  </si>
  <si>
    <t xml:space="preserve">Part sent without leak test label </t>
  </si>
  <si>
    <t>Q202400778995</t>
  </si>
  <si>
    <t>Send a box of 600 samples with assembly of the plug on the middle for trial Send a box of 600 samples with assembly of the plug on the middle for trial Send parts with asembled plug on the middle of connector Check possibility another supplier « DLM », the possibility for new plug</t>
  </si>
  <si>
    <t>No cohence between the diameter of the QC and the plug  / No control prevent for the broken plug</t>
  </si>
  <si>
    <t xml:space="preserve">VALVE-VENTILATION,ENG OIL PAN with broken plugs   </t>
  </si>
  <si>
    <t>Q202400782869</t>
  </si>
  <si>
    <t>Q202400767242</t>
  </si>
  <si>
    <t>Warranty</t>
  </si>
  <si>
    <t>NOK sensor</t>
  </si>
  <si>
    <t xml:space="preserve">PX20L3T </t>
  </si>
  <si>
    <t>PY82Q2T</t>
  </si>
  <si>
    <t>Renault ASWH PUISEUX</t>
  </si>
  <si>
    <t>Q202400767258</t>
  </si>
  <si>
    <t>PY75E2T</t>
  </si>
  <si>
    <t>Missing necklage</t>
  </si>
  <si>
    <t>The collar is not constantly fully glued on the rubber material : Detachment out of HTN Process ( Extention from previous project without fully considering the difference of the material)</t>
  </si>
  <si>
    <t>Review and improvement of the standard to guarantee rubber–glue combination/ Establishment of a trial plan to confirm correct solution / Define the final solution : Add tape as intermediate surface between Rubber hose and Collar</t>
  </si>
  <si>
    <t>Q202400770275</t>
  </si>
  <si>
    <t xml:space="preserve">PY27K1T </t>
  </si>
  <si>
    <t>Skipping the riveting operation (Presence of cross flow between the assembly station and engraving station before the riveting station)</t>
  </si>
  <si>
    <t>Layout improvement/ Improvement of rivet presence detection system at tester level au niveau de testeur/ Optimization of the final check instruction</t>
  </si>
  <si>
    <t>Lack of rivets</t>
  </si>
  <si>
    <t>PZ06V1S</t>
  </si>
  <si>
    <t xml:space="preserve">PZ49U6U0T </t>
  </si>
  <si>
    <t xml:space="preserve"> SK46W7 </t>
  </si>
  <si>
    <t xml:space="preserve"> PV56F10U0S  </t>
  </si>
  <si>
    <t xml:space="preserve"> PZ42M0U0T</t>
  </si>
  <si>
    <t xml:space="preserve"> PZ68T0W</t>
  </si>
  <si>
    <t>SK84C4U2T</t>
  </si>
  <si>
    <t>PZ57Q2U0T</t>
  </si>
  <si>
    <t>SM17G1U0T</t>
  </si>
  <si>
    <t>ci hanno segnalato di aver riscontrato sul componente in oggetto perdita pressione reso con rs 24788</t>
  </si>
  <si>
    <t>There are scatches on the sleeve and then even on the
rubber hose which can generate leakage on parts.</t>
  </si>
  <si>
    <t>Leak defect from Flange</t>
  </si>
  <si>
    <t>Leakage</t>
  </si>
  <si>
    <t>Non-conform surface</t>
  </si>
  <si>
    <t>Missing part plastic tube on boundy</t>
  </si>
  <si>
    <t>TK2024000007511</t>
  </si>
  <si>
    <t>TK2024000025636</t>
  </si>
  <si>
    <t>TK2025000000631</t>
  </si>
  <si>
    <t xml:space="preserve"> TK2025000004857</t>
  </si>
  <si>
    <t>Incorrect valve diameter / leak test can not detect</t>
  </si>
  <si>
    <t>Wrong part handling / skip conbtrol  operation</t>
  </si>
  <si>
    <t>S non respecté au niveau de poste 5montage Facetta                               L’opérateur a passé les pièces sans facetta à la place des pièces avec facetta / Le testeur ne détecte pas le manque Facetta                                                    Manque de contrôle visuel de présence composant au niveau de poste de contrôle final/ Manque d’auto-controle de la présence Facetta par l’opérateur/ Manque de contre-partie Facetta au niveau de Gabarit de controle</t>
  </si>
  <si>
    <t xml:space="preserve">The manuel operartion of calibration was not done in good way                                The operator control was not  done in proper way                                  </t>
  </si>
  <si>
    <t xml:space="preserve">Sensata Technologies - 8D Report </t>
  </si>
  <si>
    <t xml:space="preserve">Add pressure switch to keep pressure stable on the the close coller  work station                                                          Add sensor presence , position and orientation for the  clamp in the assembly tool                                                         Add Poka Yoke in the leak test ( Presence and position of Clamp                                                                                              Add Poka Yoke in the gauge ( Presence and position of Clamp                                                                                                 Add a gauge go no go  for the control for the clo se of the Clump                                                                                  Request of a change design for the PN’s subject of the claim for the leak test pressure  from 2 bar to 3,5 bar                               </t>
  </si>
  <si>
    <t>Modification of the work instuction by avoid to mix PN in the same layer
Adding a reinforced visual control workstation</t>
  </si>
  <si>
    <t xml:space="preserve">Add a mechanical Poka Yoke system to prevent the assembly of the bracket when the brackets are inverted                                  
Revise the work instruction to include the new modification                                     
Make a training for the  work instruction    </t>
  </si>
  <si>
    <t xml:space="preserve">Request for cross out </t>
  </si>
  <si>
    <t xml:space="preserve">STLA IVECO </t>
  </si>
  <si>
    <t xml:space="preserve">for the defect found it implement new tool for the calibration (automatic tool ) after the acceptation of the customer </t>
  </si>
  <si>
    <t xml:space="preserve">Pinch detected on the product </t>
  </si>
  <si>
    <t>STLA SPA (FIP)</t>
  </si>
  <si>
    <t>TK2024000021293</t>
  </si>
  <si>
    <t>Return part from warranty fiedl assembly  on vin ZFA25000002Y74369.ABS light come out on instrumetal panel.Visual inspection in Sevel Ok.Request second level analisys by supplier</t>
  </si>
  <si>
    <t>TK2024000018816</t>
  </si>
  <si>
    <t>TK2024000018552</t>
  </si>
  <si>
    <t>TUYAU ALIMENTATION CARBURANT ASS - NOK fixation in the socket</t>
  </si>
  <si>
    <t>Request for cross-out of this ticket.</t>
  </si>
  <si>
    <t>QEC 2430</t>
  </si>
  <si>
    <t>QAN 1897</t>
  </si>
  <si>
    <t>QAN 2036</t>
  </si>
  <si>
    <t>QEC 2463</t>
  </si>
  <si>
    <t>QAN 860</t>
  </si>
  <si>
    <t>QAN 1550</t>
  </si>
  <si>
    <t>QAN 2080</t>
  </si>
  <si>
    <t>QAN 2241</t>
  </si>
  <si>
    <t>QAN 2732</t>
  </si>
  <si>
    <t>QAN 3369</t>
  </si>
  <si>
    <t>QEC 251</t>
  </si>
  <si>
    <t>QEC 669</t>
  </si>
  <si>
    <t>QEC 671</t>
  </si>
  <si>
    <t>QEC 577</t>
  </si>
  <si>
    <t>QEC 948</t>
  </si>
  <si>
    <t>QAN 1332</t>
  </si>
  <si>
    <t xml:space="preserve">STLA Trnava </t>
  </si>
  <si>
    <t xml:space="preserve">STLA Pomiligano </t>
  </si>
  <si>
    <t>TUBES WITH BLACK CAPS THAT ARE DIFFICULT TO REMOVE</t>
  </si>
  <si>
    <t>We sent parts from May 2024 with the green cap( no parts was sent with black cap since May 2024). and in design there is no requirement for the color of the cap. We kindly ask the request for the cross out.</t>
  </si>
  <si>
    <t>The bracket assembly tool allows for the assembly of brackets in both 
directions.</t>
  </si>
  <si>
    <t>Closed (cross out refused)</t>
  </si>
  <si>
    <t>Part received with a reversed clip - ticket valid for all drawings</t>
  </si>
  <si>
    <t>FAILURE TO SEAL Vin: ZFABF5BJ2R3K51504</t>
  </si>
  <si>
    <t xml:space="preserve">	521095520</t>
  </si>
  <si>
    <t>STLA FIP nouva panda</t>
  </si>
  <si>
    <t>The PN was not on production since 03/06/2024.
The claimed part was from the production date 20/01/2024. 
The mileage of the part was 1443 km .
The action Plan was done for all similar product but not for the specific PN, 
to avoid any similar defect</t>
  </si>
  <si>
    <t xml:space="preserve">Actions / Comment </t>
  </si>
  <si>
    <t xml:space="preserve">Product modification letter has been sent to the customer </t>
  </si>
  <si>
    <t xml:space="preserve">Q202500820428 </t>
  </si>
  <si>
    <t>PZ49U10T</t>
  </si>
  <si>
    <t>TK2025000008270</t>
  </si>
  <si>
    <t>STLA SEVEL</t>
  </si>
  <si>
    <t>In order to improve the current situation about the probability of the defect occurs, we reduce the roughness of the extrusion nylon tool 
making new tools chrome plating → within January 2026
As containment action we’ll continue to make the disruptive check of the internal surface of the preformed hose.→ 2% of preformed hose 
production starting from 24/09/2025</t>
  </si>
  <si>
    <t xml:space="preserve">SK46G5T </t>
  </si>
  <si>
    <t xml:space="preserve">Quality alert </t>
  </si>
  <si>
    <t>QAN 764 2025 2030</t>
  </si>
  <si>
    <t>Due that the returned part is detected NOK in our Scan QR Code (after simulation of scan of claimed part in our 
scan system), so this defect is not generatd during the normal production run, we kindly ask for the crossout for 
the claim , especially that we face just 1 case and not a batch problem. 
See presentation in attacemen</t>
  </si>
  <si>
    <t>QAN GL5 2025 622</t>
  </si>
  <si>
    <r>
      <t xml:space="preserve">100% control with QR code Scan in the final work station after assembly / add a control with loop with an adequat frequency in the final control station </t>
    </r>
    <r>
      <rPr>
        <b/>
        <sz val="12"/>
        <color rgb="FFFF0000"/>
        <rFont val="Abadi"/>
        <family val="2"/>
      </rPr>
      <t>(on going )</t>
    </r>
  </si>
  <si>
    <t xml:space="preserve">PZ49U10T </t>
  </si>
  <si>
    <t>QAN 764 2025 2910</t>
  </si>
  <si>
    <t xml:space="preserve">QEC GL5 2025 1105 </t>
  </si>
  <si>
    <t>QEC 764 2025 6038</t>
  </si>
  <si>
    <t>TK2025000022715</t>
  </si>
  <si>
    <t xml:space="preserve">SK48E3U0S </t>
  </si>
  <si>
    <t>QA04XOT</t>
  </si>
  <si>
    <t>SK48E3U0S</t>
  </si>
  <si>
    <t>The problem was recivied in october and the claim was opned in november</t>
  </si>
  <si>
    <t>Opened as alert instead of official claim</t>
  </si>
  <si>
    <t>All possible root causes has been rejected by the team (Action : add a seals presence control machine for this PN and the similar ones )</t>
  </si>
  <si>
    <t>SM21X0W</t>
  </si>
  <si>
    <t>NI</t>
  </si>
  <si>
    <t>SM17E1W</t>
  </si>
  <si>
    <t>Waiting for the supplier respond</t>
  </si>
  <si>
    <t xml:space="preserve">
On going</t>
  </si>
  <si>
    <t>SUP 96D 2025 139</t>
  </si>
  <si>
    <t>Closure of CSL1 on 21/10/2025</t>
  </si>
  <si>
    <t xml:space="preserve">Escalation ticket </t>
  </si>
  <si>
    <t>PX84Z0</t>
  </si>
  <si>
    <t>PX20L1T</t>
  </si>
  <si>
    <t xml:space="preserve">Missing ring and NOK ring position for 10 parts </t>
  </si>
  <si>
    <t>TK2024000000634</t>
  </si>
  <si>
    <t>Qualitative anomaly of the product sold</t>
  </si>
  <si>
    <t>PY74B2S</t>
  </si>
  <si>
    <t>STLA FMA (PRATOLA SERRA AV)</t>
  </si>
  <si>
    <t xml:space="preserve"> Data matrix non lut</t>
  </si>
  <si>
    <t xml:space="preserve">Signalisation </t>
  </si>
  <si>
    <t xml:space="preserve">PZ22T0S </t>
  </si>
  <si>
    <t>PZ50Q1T</t>
  </si>
  <si>
    <t xml:space="preserve">Label code not readed </t>
  </si>
  <si>
    <t>TK2024000004331</t>
  </si>
  <si>
    <t>PY54Q0S</t>
  </si>
  <si>
    <t xml:space="preserve"> Unreadable QR code (229 KO )</t>
  </si>
  <si>
    <t xml:space="preserve">Action : change the control of 100 % of the QR code reading on final control station, 1. Purchase and replacement of the printer with door with improper closure
2. Establish an additional QR code scanning on final control station
3. Update the control instruction with the claimed QR code aspect
4. Train the operators on the visual check of the claimed QR code aspect </t>
  </si>
  <si>
    <t>DIFFICULT REMOVAL OF CAP WITH CONSEQUENT LABORATORY KO YIELD R.S.24312</t>
  </si>
  <si>
    <t>TK2024000004123</t>
  </si>
  <si>
    <t>Following the above verification our process is conform regarding the cap
diffuclty removal, we ensured the Preanalysis and we wait our customer reply to
go forward with the undersatnding of the claimed defect.</t>
  </si>
  <si>
    <t>SL49I1S</t>
  </si>
  <si>
    <t>Leak Refrigerant</t>
  </si>
  <si>
    <t>Following the above verification of our process and particularly the the Helium
tester history, our process is safe regarding this defect and we kindly ask the
cross-out of this ticket. ==&gt; Customer answer :  The valve was not tightened, as shown in the video. After tightening the valve, the fault was removed. Therefore,
there are no grounds to cancel the TK.</t>
  </si>
  <si>
    <t xml:space="preserve">SK81Q3T </t>
  </si>
  <si>
    <t xml:space="preserve">TK2024000002185 </t>
  </si>
  <si>
    <t xml:space="preserve">STLA  Tychy </t>
  </si>
  <si>
    <t xml:space="preserve">	
Presentation shared with customer on 27/05 explaining the reason why it's necessary for us to apply lubricant and flaring on the extremity of plastic pipes/NO action, because we use lubricant during the assembly as explained in presentation shared with customer on 27/05/2024   /Action closed by applying lubricant and flaring at the extremity of plastic pipes / No action, it's our standard process to use lubricant in assembly phase / Action closed by applying lubricant and flaring at the extremity of plastic pipes</t>
  </si>
  <si>
    <t xml:space="preserve">	
Bad joint between metal adaptor and rubber hose/ There isn't a correct assembly between the metal adaptor and the plastic pipe</t>
  </si>
  <si>
    <t>fuel pipes - poor connection between the plastic pipe and the metal connector. The plastic pipe does not fit all the way to the end stop - risk of fuel leakage</t>
  </si>
  <si>
    <t>TK2024000006205</t>
  </si>
  <si>
    <t>Official claim Pre-launch</t>
  </si>
  <si>
    <t>SM17E1T</t>
  </si>
  <si>
    <t xml:space="preserve">Lost caps of the parts </t>
  </si>
  <si>
    <t>QAN GL5 2024 449</t>
  </si>
  <si>
    <t>Fuel lines - reverse mounted clip.</t>
  </si>
  <si>
    <t xml:space="preserve">OPEN </t>
  </si>
  <si>
    <t xml:space="preserve"> PZ57X1T</t>
  </si>
  <si>
    <t>NO DATA FOUND</t>
  </si>
  <si>
    <t xml:space="preserve">PZ44G2U0W  </t>
  </si>
  <si>
    <t>PZ75P0T</t>
  </si>
  <si>
    <t>Difficulté a extraire le bouchon</t>
  </si>
  <si>
    <r>
      <t xml:space="preserve">Améliorer le flux de produit aprés l'opération de montage des tubes ≡ Improve the flow of the product after assembly operation                                                     </t>
    </r>
    <r>
      <rPr>
        <sz val="12"/>
        <color rgb="FFFF0000"/>
        <rFont val="Abadi"/>
        <family val="2"/>
      </rPr>
      <t>Ajouter un marquage à cheval aprés l'opération de montage
entre le tube métallique et le tube plastique ≡ Added a specific
marking between the metallic tube and the plastic tube</t>
    </r>
    <r>
      <rPr>
        <sz val="12"/>
        <rFont val="Abadi"/>
        <family val="2"/>
      </rPr>
      <t xml:space="preserve">                                                          </t>
    </r>
    <r>
      <rPr>
        <sz val="12"/>
        <color rgb="FFFF0000"/>
        <rFont val="Abadi"/>
        <family val="2"/>
      </rPr>
      <t xml:space="preserve">  100% control on gauge </t>
    </r>
  </si>
  <si>
    <t xml:space="preserve"> TK2024000007511</t>
  </si>
  <si>
    <t>They reported to us that they encountered a pressure loss on the component in question, returned with RS 24788.</t>
  </si>
  <si>
    <t>As described by customer there is lack of pression, Sumiriko don't make any electric test for the Sensata Sensor</t>
  </si>
  <si>
    <t xml:space="preserve">Supplier issue </t>
  </si>
  <si>
    <t>7434483AA</t>
  </si>
  <si>
    <t xml:space="preserve">Missing cap </t>
  </si>
  <si>
    <t xml:space="preserve">SNCR: 200033731 </t>
  </si>
  <si>
    <t xml:space="preserve">Project Official claim </t>
  </si>
  <si>
    <t>PZ52K2K</t>
  </si>
  <si>
    <t>Official claim SRK TURKEY / HTN</t>
  </si>
  <si>
    <t>162 KO Parts</t>
  </si>
  <si>
    <t xml:space="preserve">Change the design of the valve with the correct customer requested tolerance  /  Send the new design to the supplier, Barazutt                               A reception for the certified batch that meets the correct tolerance specifications as 
required by the customer. </t>
  </si>
  <si>
    <t xml:space="preserve">Minor Valve diameter </t>
  </si>
  <si>
    <t>TK2025000000909</t>
  </si>
  <si>
    <t>Coolant leak from valve - ticket valid for all designs</t>
  </si>
  <si>
    <t>Pipe missing O-ring</t>
  </si>
  <si>
    <t>W e already controlled around 13497 parts with 0 ko part, the o-ring is assembled before the leak work station, and if the part is missed of o-ring the test is failed. So we request kindly the croosout of the claim.</t>
  </si>
  <si>
    <t>PZ75P1T</t>
  </si>
  <si>
    <t>Q202500839663</t>
  </si>
  <si>
    <t>Renault SANDOUVILLE</t>
  </si>
  <si>
    <t>SM62B4U0T</t>
  </si>
  <si>
    <t>Claim to the supplier / Optimise the process in terme of detection (ongoing)</t>
  </si>
  <si>
    <t xml:space="preserve">SRK project team are supporting the customer in terms of product change based on our PM feadback </t>
  </si>
  <si>
    <t>SRK Italy supplier (rubber coil issue)</t>
  </si>
  <si>
    <t>Fitting rubber internal diameter NOK</t>
  </si>
  <si>
    <t>Q202500839929</t>
  </si>
  <si>
    <t xml:space="preserve">Renault CLEON </t>
  </si>
  <si>
    <t>SRK HTN</t>
  </si>
  <si>
    <t>Resp</t>
  </si>
  <si>
    <t>MTT HTN</t>
  </si>
  <si>
    <t>Supplier</t>
  </si>
  <si>
    <t>AC</t>
  </si>
  <si>
    <t>MTT</t>
  </si>
  <si>
    <t>DA</t>
  </si>
  <si>
    <t>OP</t>
  </si>
  <si>
    <t>Fuel</t>
  </si>
  <si>
    <t>PFMEA update</t>
  </si>
  <si>
    <t xml:space="preserve">Done </t>
  </si>
  <si>
    <t>TK2026000000327</t>
  </si>
  <si>
    <t>SM77B0T</t>
  </si>
  <si>
    <t xml:space="preserve">Fuel </t>
  </si>
  <si>
    <t xml:space="preserve"> Done</t>
  </si>
  <si>
    <t xml:space="preserve">Request for cross out based on the process foundings </t>
  </si>
  <si>
    <t>58 - QAN G2 - Critical failure (ex 09)</t>
  </si>
  <si>
    <t>TK2025000004857</t>
  </si>
  <si>
    <t>TK2025000002320</t>
  </si>
  <si>
    <t>TICKET</t>
  </si>
  <si>
    <t>Ranking points and type</t>
  </si>
  <si>
    <t>15 points</t>
  </si>
  <si>
    <t>2 points</t>
  </si>
  <si>
    <t>DONE</t>
  </si>
  <si>
    <t>"Y" / 53 - QAN D - SINGLE CASE NC - REWORK TIME &lt; 10 MN (EX 03)</t>
  </si>
  <si>
    <t>"N" / 05 - Quality problem of moderate extent</t>
  </si>
  <si>
    <t>"Y" / 05 - Quality problem of moderate extent</t>
  </si>
  <si>
    <t>"Y" / 58 - QAN G2 - Critical failure (ex 09)</t>
  </si>
  <si>
    <t xml:space="preserve">Not availble </t>
  </si>
  <si>
    <t>"Y" 58 - QAN G2 - Critical failure (ex 09)</t>
  </si>
  <si>
    <t>Supplier 8D report</t>
  </si>
  <si>
    <t>"Y" 54 - QAN E1 - Multiple non-conformities - rework time &lt; 20 mn</t>
  </si>
  <si>
    <t>"Y" / 57 - QAN G1 - NC - SINGLE REWORK &gt;10 MN OR MULTIPLE &gt; 20 MN (EX 05)</t>
  </si>
  <si>
    <t>FCA MATRIX</t>
  </si>
  <si>
    <t>QAN 764 2025 1990</t>
  </si>
  <si>
    <t>G1 - NC - retouche unitaire&gt;10 mn ou multiple&gt;20 mn # NC - Single Rework&gt;10 mn or multiple&gt;20 mn</t>
  </si>
  <si>
    <t>SL91J2U0W</t>
  </si>
  <si>
    <t xml:space="preserve">SM21X0W </t>
  </si>
  <si>
    <t xml:space="preserve">PZ76X0W </t>
  </si>
  <si>
    <t>SM17G1U0W</t>
  </si>
  <si>
    <t>PZ44G2U0W</t>
  </si>
  <si>
    <t>PZ68T0W</t>
  </si>
  <si>
    <t>SL81Q0T</t>
  </si>
  <si>
    <t>PN</t>
  </si>
  <si>
    <t>To add</t>
  </si>
  <si>
    <t xml:space="preserve">SRK Italy </t>
  </si>
  <si>
    <t>On going</t>
  </si>
  <si>
    <t>Not done</t>
  </si>
  <si>
    <t xml:space="preserve">Added a calibration machine </t>
  </si>
  <si>
    <t>STLA Serbia</t>
  </si>
  <si>
    <t xml:space="preserve">	9849466680</t>
  </si>
  <si>
    <t xml:space="preserve">Adding a countersinks to the machine CNC program ≡ Adding a countersinks to the machine CNC program / Reenforce the control of the connector in Quality inspection/  Increase the frequency for destructive test each hour / Up date the pfmea  and the control plan </t>
  </si>
  <si>
    <t xml:space="preserve">closed </t>
  </si>
  <si>
    <t xml:space="preserve">supplier </t>
  </si>
  <si>
    <t>QAN GL5 2025 696</t>
  </si>
  <si>
    <t>B - Alerte préalable émise par le Fournisseur # Supplier-initiated</t>
  </si>
  <si>
    <t xml:space="preserve">100% Control with marking objectivation / Activate the provider in customer plant </t>
  </si>
  <si>
    <t>QEC 764 2025 84 / 1</t>
  </si>
  <si>
    <t xml:space="preserve">Setup of automatic Quick connector insertion machine / Sumiriko internal validation for automatic Quck connector insertion machine / Increase the frenency of destructive control from at set up to every hour /  Up date the PFMEA to have an automatic machine to use for the insertion of metallic QC with rubber with POKA – Yoke system to avoid misalignement </t>
  </si>
  <si>
    <t xml:space="preserve">supplier / SRK HTN </t>
  </si>
  <si>
    <t xml:space="preserve">	52139555</t>
  </si>
  <si>
    <t xml:space="preserve">Supplier </t>
  </si>
  <si>
    <t>07 - Ticket - Dispute / Corr Act</t>
  </si>
  <si>
    <t xml:space="preserve">strong smell of petrol - fuel leak from the fuel pipe on the engine (see attachment).  VIN: VR7CCHPV4RT160170 EMON: 19.11.2024
Kilometrage: 1  km    </t>
  </si>
  <si>
    <t xml:space="preserve">PZ51M1U1W </t>
  </si>
  <si>
    <t>Open</t>
  </si>
  <si>
    <t>QAN GL5 2026 213</t>
  </si>
  <si>
    <t>E1 - Non Conformités multiples – retouche&lt;20 mn # Multiple non-conformities - rework time&lt;20 mn</t>
  </si>
  <si>
    <t xml:space="preserve">	TK2026000001616	</t>
  </si>
  <si>
    <t>STLA FMA (PRATOLA SERRA AV</t>
  </si>
  <si>
    <t>TK2026000001611</t>
  </si>
  <si>
    <t>closed</t>
  </si>
  <si>
    <t>Q202600849427</t>
  </si>
  <si>
    <t>118100591R</t>
  </si>
  <si>
    <t>Renault Valladolid</t>
  </si>
  <si>
    <t xml:space="preserve">Agreement has been made for the cross out as the parts </t>
  </si>
  <si>
    <t>Q202600850029</t>
  </si>
  <si>
    <t>Q202600850544</t>
  </si>
  <si>
    <t xml:space="preserve">Renault PITESTI </t>
  </si>
  <si>
    <t>TBD</t>
  </si>
  <si>
    <t>DEP</t>
  </si>
  <si>
    <t xml:space="preserve">Request for the corss out has been sent in the portal (customer communcation is done by Mr Gero ) </t>
  </si>
  <si>
    <t>SRK</t>
  </si>
  <si>
    <t xml:space="preserve">SL92I4U0T </t>
  </si>
  <si>
    <t>STLA IRF ITALY</t>
  </si>
  <si>
    <t xml:space="preserve">Quality Alert  </t>
  </si>
  <si>
    <t>QA18E3T</t>
  </si>
  <si>
    <t xml:space="preserve">118295420R </t>
  </si>
  <si>
    <t xml:space="preserve">Renault Valladolid  </t>
  </si>
  <si>
    <t>Q202600847080</t>
  </si>
  <si>
    <t xml:space="preserve">Waiting for scarleno feedback and the returned parts for analysis </t>
  </si>
  <si>
    <t>TK2026000002782</t>
  </si>
  <si>
    <t>223212142R</t>
  </si>
  <si>
    <t>216222473R</t>
  </si>
  <si>
    <t>7434473AA</t>
  </si>
  <si>
    <t>under investigation</t>
  </si>
  <si>
    <t xml:space="preserve">Waiting for the tier 2 confirmation of the non conformity and analysis </t>
  </si>
  <si>
    <t>PZ82A1S</t>
  </si>
  <si>
    <t>QA04X0T</t>
  </si>
  <si>
    <t>PZ51C1W</t>
  </si>
  <si>
    <t xml:space="preserve">9849856080	</t>
  </si>
  <si>
    <t>PZ53H4T</t>
  </si>
  <si>
    <t xml:space="preserve">PZ52G0C </t>
  </si>
  <si>
    <t xml:space="preserve">open </t>
  </si>
  <si>
    <t>Logistic claim</t>
  </si>
  <si>
    <t xml:space="preserve">Renault ILN FRANCE </t>
  </si>
  <si>
    <t xml:space="preserve">Requested from HTN logistics </t>
  </si>
  <si>
    <t>TK2026000003295</t>
  </si>
  <si>
    <t>STLA FCA IRF ITALY</t>
  </si>
  <si>
    <t>SM91P2T</t>
  </si>
  <si>
    <t xml:space="preserve">Renault France   </t>
  </si>
  <si>
    <t>QAN 764 2026 1156</t>
  </si>
  <si>
    <t>QAN 764 2026 1085</t>
  </si>
  <si>
    <t>E2 - Erreur d’identification – Erreur de référence # Mislabeling</t>
  </si>
  <si>
    <t>The cross out was requested due to the fact that the parts has been produced in september and the 100% control in the process</t>
  </si>
  <si>
    <t>SL92I4U0T</t>
  </si>
  <si>
    <t>SM17E2T</t>
  </si>
  <si>
    <t xml:space="preserve">L202600853211 </t>
  </si>
  <si>
    <t>The action plan was issued due to the non disponabilty of the multedecepnary team (in 27/02/2026 the issue was resolved by 2 actions add the defect photo  to ISQ and add a control instruction in the mainteance level one sheet)</t>
  </si>
  <si>
    <t>TK2026000003135</t>
  </si>
  <si>
    <t>We requested the reinforcement of the control in the GP12 since the previous claim as the AQF control is not affected until the integration of the compatible control parts in our process (charging pipe)</t>
  </si>
  <si>
    <t xml:space="preserve">Based on the leak test history we requested the cross out </t>
  </si>
  <si>
    <t xml:space="preserve">Possible actions was communcated to the customer to respect the DDL as the ticket is Qulaity and the problem is logistic </t>
  </si>
  <si>
    <t>Still not implemented</t>
  </si>
  <si>
    <t>Machine</t>
  </si>
  <si>
    <t>4M</t>
  </si>
  <si>
    <t>118109143R</t>
  </si>
  <si>
    <t xml:space="preserve">  Renault Valldolid spain</t>
  </si>
  <si>
    <t>Renault Romania</t>
  </si>
  <si>
    <t>Renault Horse Brasil</t>
  </si>
  <si>
    <t>SM91P0T</t>
  </si>
  <si>
    <t>Dep code</t>
  </si>
  <si>
    <t xml:space="preserve">Missing components </t>
  </si>
  <si>
    <t>Missing components</t>
  </si>
  <si>
    <t>Missing compoents</t>
  </si>
  <si>
    <t>Method</t>
  </si>
  <si>
    <t>leak</t>
  </si>
  <si>
    <t>Dimontional</t>
  </si>
  <si>
    <t xml:space="preserve"> Dimontional</t>
  </si>
  <si>
    <t>Missing component</t>
  </si>
  <si>
    <t>Missing componet</t>
  </si>
  <si>
    <t>Manpower</t>
  </si>
  <si>
    <t>Environment</t>
  </si>
  <si>
    <t>PZ52GO</t>
  </si>
  <si>
    <t>Renault Horse spain</t>
  </si>
  <si>
    <t>Renault Turkey</t>
  </si>
  <si>
    <t>Leak</t>
  </si>
  <si>
    <t>signalisation</t>
  </si>
  <si>
    <t>Quality Alert</t>
  </si>
  <si>
    <t>SH38Q0</t>
  </si>
  <si>
    <t>TGG10101315</t>
  </si>
  <si>
    <t>SRK Turkey</t>
  </si>
  <si>
    <t>PZ57E1T</t>
  </si>
  <si>
    <t>OP Mobility Slovakia</t>
  </si>
  <si>
    <t>7434471AA</t>
  </si>
  <si>
    <t>Fual</t>
  </si>
  <si>
    <t>Quantity</t>
  </si>
  <si>
    <t>QAN GL5 2026750</t>
  </si>
  <si>
    <t>60 ko</t>
  </si>
  <si>
    <t>Stellantis Pratola Serra</t>
  </si>
  <si>
    <t>SL84T1</t>
  </si>
  <si>
    <t>QAN GL52026750</t>
  </si>
  <si>
    <t>4ko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</si>
</sst>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19" x14ac:knownFonts="1">
    <font>
      <sz val="11"/>
      <color theme="1"/>
      <name val="Calibri"/>
      <family val="2"/>
      <scheme val="minor"/>
    </font>
    <font>
      <b/>
      <sz val="10"/>
      <color rgb="FFFFFFFF"/>
      <name val="Calibri"/>
      <family val="2"/>
      <charset val="1"/>
    </font>
    <font>
      <sz val="10"/>
      <color rgb="FF44546A"/>
      <name val="Calibri"/>
      <family val="2"/>
      <charset val="1"/>
    </font>
    <font>
      <sz val="11"/>
      <color theme="1"/>
      <name val="Abadi"/>
      <family val="2"/>
    </font>
    <font>
      <sz val="12"/>
      <color theme="1"/>
      <name val="Abadi"/>
      <family val="2"/>
    </font>
    <font>
      <sz val="12"/>
      <name val="Abadi"/>
      <family val="2"/>
    </font>
    <font>
      <b/>
      <sz val="12"/>
      <color rgb="FFFF0000"/>
      <name val="Abadi"/>
      <family val="2"/>
    </font>
    <font>
      <b/>
      <sz val="12"/>
      <color theme="1"/>
      <name val="Abadi"/>
      <family val="2"/>
    </font>
    <font>
      <sz val="12"/>
      <color rgb="FFFF0000"/>
      <name val="Abadi"/>
      <family val="2"/>
    </font>
    <font>
      <sz val="12"/>
      <color rgb="FF0000FF"/>
      <name val="Abadi"/>
      <family val="2"/>
    </font>
    <font>
      <sz val="12"/>
      <color theme="1"/>
      <name val="Calibri"/>
      <family val="2"/>
      <scheme val="minor"/>
    </font>
    <font>
      <b/>
      <sz val="11"/>
      <color theme="1"/>
      <name val="Calibri"/>
      <family val="2"/>
      <scheme val="minor"/>
    </font>
    <font>
      <b/>
      <sz val="10"/>
      <color theme="1"/>
      <name val="Calibri"/>
      <family val="2"/>
    </font>
    <font>
      <sz val="11"/>
      <name val="Abadi"/>
      <family val="2"/>
    </font>
    <font>
      <u/>
      <sz val="11"/>
      <color theme="1"/>
      <name val="Calibri"/>
      <family val="2"/>
      <scheme val="minor"/>
    </font>
    <font>
      <sz val="11"/>
      <color rgb="FFFF0000"/>
      <name val="Calibri"/>
      <family val="2"/>
      <scheme val="minor"/>
    </font>
    <font>
      <sz val="11"/>
      <color theme="7" tint="0.59999389629810485"/>
      <name val="Calibri"/>
      <family val="2"/>
      <scheme val="minor"/>
    </font>
    <font>
      <sz val="11"/>
      <color rgb="FF002060"/>
      <name val="Calibri"/>
      <family val="2"/>
      <scheme val="minor"/>
    </font>
    <font>
      <sz val="11"/>
      <color rgb="FF002060"/>
      <name val="Abadi"/>
      <family val="2"/>
    </font>
  </fonts>
  <fills count="7">
    <fill>
      <patternFill patternType="none"/>
    </fill>
    <fill>
      <patternFill patternType="gray125"/>
    </fill>
    <fill>
      <patternFill patternType="solid">
        <fgColor theme="7" tint="0.59999389629810485"/>
        <bgColor indexed="64"/>
      </patternFill>
    </fill>
    <fill>
      <patternFill patternType="solid">
        <fgColor theme="7" tint="0.59999389629810485"/>
        <bgColor rgb="FF000000"/>
      </patternFill>
    </fill>
    <fill>
      <patternFill patternType="solid">
        <fgColor theme="2"/>
        <bgColor indexed="64"/>
      </patternFill>
    </fill>
    <fill>
      <patternFill patternType="solid">
        <fgColor rgb="FFFFFF00"/>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80">
    <xf numFmtId="0" fontId="0" fillId="0" borderId="0" xfId="0"/>
    <xf numFmtId="49" fontId="2" fillId="0" borderId="0" xfId="0" applyNumberFormat="1" applyFont="1" applyAlignment="1">
      <alignment horizontal="center" vertical="center"/>
    </xf>
    <xf numFmtId="14" fontId="4"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0" borderId="0" xfId="0" applyNumberFormat="1"/>
    <xf numFmtId="14" fontId="5"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14" fontId="4"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xf numFmtId="0" fontId="4" fillId="2" borderId="1" xfId="0" applyFont="1" applyFill="1" applyBorder="1" applyAlignment="1">
      <alignment horizontal="center"/>
    </xf>
    <xf numFmtId="0" fontId="0" fillId="2" borderId="1" xfId="0" applyFill="1" applyBorder="1" applyAlignment="1">
      <alignment horizontal="center"/>
    </xf>
    <xf numFmtId="0" fontId="0" fillId="2" borderId="1" xfId="0" applyFill="1" applyBorder="1" applyAlignment="1">
      <alignment horizontal="center" vertical="center"/>
    </xf>
    <xf numFmtId="0" fontId="0" fillId="2" borderId="1" xfId="0" applyFill="1" applyBorder="1" applyAlignment="1">
      <alignment vertical="center"/>
    </xf>
    <xf numFmtId="0" fontId="4" fillId="2" borderId="0" xfId="0" applyFont="1" applyFill="1" applyAlignment="1">
      <alignment horizontal="center" vertical="center" wrapText="1"/>
    </xf>
    <xf numFmtId="0" fontId="10" fillId="2" borderId="1" xfId="0" applyFont="1" applyFill="1" applyBorder="1" applyAlignment="1">
      <alignment horizontal="center" vertical="center"/>
    </xf>
    <xf numFmtId="0" fontId="0" fillId="2" borderId="1" xfId="0" applyFill="1" applyBorder="1"/>
    <xf numFmtId="0" fontId="4" fillId="2" borderId="1" xfId="0" applyFont="1" applyFill="1" applyBorder="1" applyAlignment="1">
      <alignment vertical="center" wrapText="1"/>
    </xf>
    <xf numFmtId="49" fontId="12" fillId="0" borderId="2" xfId="0" applyNumberFormat="1"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1" xfId="0" applyNumberFormat="1" applyFont="1" applyBorder="1" applyAlignment="1">
      <alignment horizontal="left" vertical="center"/>
    </xf>
    <xf numFmtId="164" fontId="2" fillId="0" borderId="1" xfId="0" applyNumberFormat="1" applyFont="1" applyBorder="1" applyAlignment="1">
      <alignment horizontal="center" vertical="center"/>
    </xf>
    <xf numFmtId="0" fontId="11" fillId="0" borderId="1" xfId="0" applyFont="1" applyBorder="1" applyAlignment="1">
      <alignment horizontal="center" vertical="center"/>
    </xf>
    <xf numFmtId="49" fontId="2" fillId="0" borderId="1" xfId="0" applyNumberFormat="1" applyFont="1" applyBorder="1" applyAlignment="1">
      <alignment vertical="center"/>
    </xf>
    <xf numFmtId="0" fontId="10" fillId="2" borderId="1" xfId="0" applyFont="1" applyFill="1" applyBorder="1" applyAlignment="1">
      <alignment horizontal="center" vertical="center" wrapText="1"/>
    </xf>
    <xf numFmtId="49" fontId="1" fillId="0" borderId="0" xfId="0" applyNumberFormat="1" applyFont="1" applyAlignment="1">
      <alignment horizontal="center" vertical="center" wrapText="1"/>
    </xf>
    <xf numFmtId="0" fontId="4" fillId="2" borderId="1" xfId="0" applyFont="1" applyFill="1" applyBorder="1" applyAlignment="1">
      <alignment wrapText="1"/>
    </xf>
    <xf numFmtId="14" fontId="3" fillId="2" borderId="1" xfId="0" applyNumberFormat="1" applyFont="1" applyFill="1" applyBorder="1" applyAlignment="1">
      <alignment horizontal="center" vertical="center"/>
    </xf>
    <xf numFmtId="14" fontId="5" fillId="2" borderId="1" xfId="0" applyNumberFormat="1" applyFont="1" applyFill="1" applyBorder="1" applyAlignment="1">
      <alignment horizontal="center" vertical="center"/>
    </xf>
    <xf numFmtId="14" fontId="5" fillId="3"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xf>
    <xf numFmtId="14" fontId="5"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9" fillId="2" borderId="1" xfId="0" applyFont="1" applyFill="1" applyBorder="1" applyAlignment="1">
      <alignment horizontal="center" vertical="top" wrapText="1"/>
    </xf>
    <xf numFmtId="0" fontId="4" fillId="2" borderId="1" xfId="0" applyFont="1" applyFill="1" applyBorder="1" applyAlignment="1">
      <alignment horizontal="center" wrapText="1"/>
    </xf>
    <xf numFmtId="0" fontId="3" fillId="2" borderId="1" xfId="0" applyFont="1" applyFill="1" applyBorder="1"/>
    <xf numFmtId="0" fontId="4" fillId="2" borderId="0" xfId="0" applyFont="1" applyFill="1"/>
    <xf numFmtId="14" fontId="0" fillId="2" borderId="1" xfId="0" applyNumberFormat="1" applyFill="1" applyBorder="1"/>
    <xf numFmtId="14" fontId="7" fillId="4" borderId="1" xfId="0" applyNumberFormat="1" applyFont="1" applyFill="1" applyBorder="1" applyAlignment="1">
      <alignment horizontal="center" vertical="center" wrapText="1"/>
    </xf>
    <xf numFmtId="0" fontId="7" fillId="4" borderId="1" xfId="0" applyFont="1" applyFill="1" applyBorder="1" applyAlignment="1">
      <alignment horizontal="center" vertical="center" wrapText="1"/>
    </xf>
    <xf numFmtId="0" fontId="0" fillId="2" borderId="1" xfId="0" applyFill="1" applyBorder="1" applyAlignment="1">
      <alignment wrapText="1"/>
    </xf>
    <xf numFmtId="0" fontId="0" fillId="2" borderId="1" xfId="0" applyFill="1" applyBorder="1" applyAlignment="1">
      <alignment horizontal="center" vertical="center" wrapText="1"/>
    </xf>
    <xf numFmtId="0" fontId="13" fillId="2" borderId="1" xfId="0" applyFont="1" applyFill="1" applyBorder="1" applyAlignment="1">
      <alignment horizontal="center" vertical="center" wrapText="1"/>
    </xf>
    <xf numFmtId="16" fontId="4" fillId="2" borderId="1" xfId="0" applyNumberFormat="1" applyFont="1" applyFill="1" applyBorder="1" applyAlignment="1">
      <alignment horizontal="center" vertical="center" wrapText="1"/>
    </xf>
    <xf numFmtId="16" fontId="4" fillId="2" borderId="1" xfId="0" applyNumberFormat="1" applyFont="1" applyFill="1" applyBorder="1" applyAlignment="1">
      <alignment horizontal="center" vertical="center"/>
    </xf>
    <xf numFmtId="14" fontId="10" fillId="2" borderId="1" xfId="0" applyNumberFormat="1" applyFont="1" applyFill="1" applyBorder="1" applyAlignment="1">
      <alignment horizontal="center" vertical="center"/>
    </xf>
    <xf numFmtId="14" fontId="0" fillId="2" borderId="1" xfId="0" applyNumberFormat="1" applyFill="1" applyBorder="1" applyAlignment="1">
      <alignment horizontal="center" vertical="center"/>
    </xf>
    <xf numFmtId="0" fontId="4" fillId="2" borderId="3" xfId="0" applyFont="1" applyFill="1" applyBorder="1" applyAlignment="1">
      <alignment horizontal="center" vertical="center"/>
    </xf>
    <xf numFmtId="0" fontId="0" fillId="2" borderId="4" xfId="0" applyFill="1" applyBorder="1"/>
    <xf numFmtId="0" fontId="0" fillId="2" borderId="4" xfId="0" applyFill="1" applyBorder="1" applyAlignment="1">
      <alignment horizontal="center" vertical="center"/>
    </xf>
    <xf numFmtId="0" fontId="10" fillId="2" borderId="4" xfId="0" applyFont="1" applyFill="1" applyBorder="1" applyAlignment="1">
      <alignment horizontal="center" vertical="center"/>
    </xf>
    <xf numFmtId="0" fontId="4" fillId="2" borderId="4"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wrapText="1"/>
    </xf>
    <xf numFmtId="0" fontId="10" fillId="2" borderId="1" xfId="0" applyFont="1" applyFill="1" applyBorder="1"/>
    <xf numFmtId="0" fontId="10" fillId="2" borderId="1" xfId="0" applyFont="1" applyFill="1" applyBorder="1" applyAlignment="1">
      <alignment wrapText="1"/>
    </xf>
    <xf numFmtId="0" fontId="7" fillId="2" borderId="1" xfId="0" applyFont="1" applyFill="1" applyBorder="1" applyAlignment="1">
      <alignment horizontal="center" vertical="center"/>
    </xf>
    <xf numFmtId="14" fontId="10" fillId="2" borderId="4" xfId="0" applyNumberFormat="1" applyFont="1" applyFill="1" applyBorder="1" applyAlignment="1">
      <alignment horizontal="center" vertical="center"/>
    </xf>
    <xf numFmtId="0" fontId="0" fillId="2" borderId="4" xfId="0" applyFill="1" applyBorder="1" applyAlignment="1">
      <alignment wrapText="1"/>
    </xf>
    <xf numFmtId="0" fontId="0" fillId="5" borderId="0" xfId="0" applyFill="1"/>
    <xf numFmtId="14" fontId="0" fillId="5" borderId="0" xfId="0" applyNumberFormat="1" applyFill="1"/>
    <xf numFmtId="0" fontId="14" fillId="2" borderId="1" xfId="0" applyFont="1" applyFill="1" applyBorder="1"/>
    <xf numFmtId="14" fontId="4" fillId="2" borderId="1" xfId="0" applyNumberFormat="1" applyFont="1" applyFill="1" applyBorder="1" applyAlignment="1">
      <alignment horizontal="center"/>
    </xf>
    <xf numFmtId="0" fontId="4" fillId="6" borderId="1" xfId="0" applyFont="1" applyFill="1" applyBorder="1" applyAlignment="1">
      <alignment horizontal="center" vertical="center"/>
    </xf>
    <xf numFmtId="14" fontId="4" fillId="6" borderId="1" xfId="0" applyNumberFormat="1" applyFont="1" applyFill="1" applyBorder="1" applyAlignment="1">
      <alignment horizontal="center" vertical="center"/>
    </xf>
    <xf numFmtId="14" fontId="15" fillId="6" borderId="1" xfId="0" applyNumberFormat="1" applyFont="1" applyFill="1" applyBorder="1"/>
    <xf numFmtId="14" fontId="0" fillId="2" borderId="1" xfId="0" applyNumberFormat="1" applyFill="1" applyBorder="1" applyAlignment="1">
      <alignment horizontal="center"/>
    </xf>
    <xf numFmtId="14" fontId="0" fillId="2" borderId="1" xfId="0" applyNumberFormat="1" applyFill="1" applyBorder="1" applyAlignment="1">
      <alignment horizontal="center" vertical="top"/>
    </xf>
    <xf numFmtId="0" fontId="16" fillId="0" borderId="0" xfId="0" applyFont="1"/>
    <xf numFmtId="14" fontId="17" fillId="2" borderId="1" xfId="0" applyNumberFormat="1" applyFont="1" applyFill="1" applyBorder="1"/>
    <xf numFmtId="0" fontId="17" fillId="2" borderId="1" xfId="0" applyFont="1" applyFill="1" applyBorder="1"/>
    <xf numFmtId="0" fontId="17" fillId="2" borderId="1" xfId="0" applyFont="1" applyFill="1" applyBorder="1" applyAlignment="1">
      <alignment horizontal="center"/>
    </xf>
    <xf numFmtId="14" fontId="17" fillId="2" borderId="1" xfId="0" applyNumberFormat="1" applyFont="1" applyFill="1" applyBorder="1" applyAlignment="1">
      <alignment horizontal="center"/>
    </xf>
    <xf numFmtId="0" fontId="17"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center"/>
    </xf>
    <xf numFmtId="14" fontId="18" fillId="2" borderId="1" xfId="0" applyNumberFormat="1" applyFont="1" applyFill="1" applyBorder="1" applyAlignment="1">
      <alignment horizontal="center" vertical="top"/>
    </xf>
    <xf numFmtId="0" fontId="15" fillId="6" borderId="1" xfId="0" applyFont="1" applyFill="1" applyBorder="1"/>
  </cellXfs>
  <cellStyles count="1">
    <cellStyle name="Normal" xfId="0" builtinId="0"/>
  </cellStyles>
  <dxfs count="0"/>
  <tableStyles count="0" defaultTableStyle="TableStyleMedium2" defaultPivotStyle="PivotStyleLight16"/>
  <colors>
    <mruColors>
      <color rgb="FFD2834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1424940</xdr:colOff>
      <xdr:row>17</xdr:row>
      <xdr:rowOff>175260</xdr:rowOff>
    </xdr:from>
    <xdr:to>
      <xdr:col>7</xdr:col>
      <xdr:colOff>2042902</xdr:colOff>
      <xdr:row>43</xdr:row>
      <xdr:rowOff>8018</xdr:rowOff>
    </xdr:to>
    <xdr:pic>
      <xdr:nvPicPr>
        <xdr:cNvPr id="2" name="Image 1">
          <a:extLst>
            <a:ext uri="{FF2B5EF4-FFF2-40B4-BE49-F238E27FC236}">
              <a16:creationId xmlns:a16="http://schemas.microsoft.com/office/drawing/2014/main" id="{BAE3E9C5-D965-0DA0-0A07-A5F2E387817E}"/>
            </a:ext>
          </a:extLst>
        </xdr:cNvPr>
        <xdr:cNvPicPr>
          <a:picLocks noChangeAspect="1"/>
        </xdr:cNvPicPr>
      </xdr:nvPicPr>
      <xdr:blipFill>
        <a:blip xmlns:r="http://schemas.openxmlformats.org/officeDocument/2006/relationships" r:embed="rId1"/>
        <a:stretch>
          <a:fillRect/>
        </a:stretch>
      </xdr:blipFill>
      <xdr:spPr>
        <a:xfrm>
          <a:off x="2217420" y="2552700"/>
          <a:ext cx="8558002" cy="45876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xdr:colOff>
      <xdr:row>0</xdr:row>
      <xdr:rowOff>6903</xdr:rowOff>
    </xdr:from>
    <xdr:ext cx="4693802" cy="490305"/>
    <xdr:pic>
      <xdr:nvPicPr>
        <xdr:cNvPr id="2" name="Image 1">
          <a:extLst>
            <a:ext uri="{FF2B5EF4-FFF2-40B4-BE49-F238E27FC236}">
              <a16:creationId xmlns:a16="http://schemas.microsoft.com/office/drawing/2014/main" id="{BB1E7B74-80D8-454F-9253-D55F3BAD1E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6903"/>
          <a:ext cx="4693802" cy="49030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15CEF-33D7-42A5-92AD-294BFD9C8F31}">
  <sheetPr filterMode="1"/>
  <dimension ref="B3:H19"/>
  <sheetViews>
    <sheetView topLeftCell="A10" workbookViewId="0">
      <selection activeCell="D23" sqref="D23"/>
    </sheetView>
  </sheetViews>
  <sheetFormatPr baseColWidth="10" defaultRowHeight="14.4" x14ac:dyDescent="0.3"/>
  <cols>
    <col min="2" max="2" width="21" customWidth="1"/>
    <col min="3" max="4" width="18.88671875" customWidth="1"/>
    <col min="5" max="5" width="16.33203125" customWidth="1"/>
    <col min="6" max="6" width="29.109375" customWidth="1"/>
    <col min="8" max="8" width="59.5546875" customWidth="1"/>
  </cols>
  <sheetData>
    <row r="3" spans="2:8" x14ac:dyDescent="0.3">
      <c r="B3" s="25"/>
      <c r="C3" s="22" t="s">
        <v>311</v>
      </c>
      <c r="D3" s="22" t="s">
        <v>34</v>
      </c>
      <c r="E3" s="22" t="s">
        <v>35</v>
      </c>
      <c r="F3" s="18" t="s">
        <v>36</v>
      </c>
      <c r="G3" s="22" t="s">
        <v>37</v>
      </c>
      <c r="H3" s="22" t="s">
        <v>38</v>
      </c>
    </row>
    <row r="4" spans="2:8" x14ac:dyDescent="0.3">
      <c r="C4" s="23" t="s">
        <v>303</v>
      </c>
      <c r="D4" s="19" t="s">
        <v>44</v>
      </c>
      <c r="E4" s="21">
        <v>46036.453634259255</v>
      </c>
      <c r="F4" s="20" t="s">
        <v>50</v>
      </c>
      <c r="G4" s="19" t="s">
        <v>42</v>
      </c>
      <c r="H4" s="20" t="s">
        <v>308</v>
      </c>
    </row>
    <row r="5" spans="2:8" x14ac:dyDescent="0.3">
      <c r="C5" s="23" t="s">
        <v>209</v>
      </c>
      <c r="D5" s="19" t="s">
        <v>44</v>
      </c>
      <c r="E5" s="21">
        <v>45981.797025462962</v>
      </c>
      <c r="F5" s="20" t="s">
        <v>50</v>
      </c>
      <c r="G5" s="19" t="s">
        <v>42</v>
      </c>
      <c r="H5" s="20" t="s">
        <v>308</v>
      </c>
    </row>
    <row r="6" spans="2:8" x14ac:dyDescent="0.3">
      <c r="C6" s="23" t="s">
        <v>40</v>
      </c>
      <c r="D6" s="19" t="s">
        <v>44</v>
      </c>
      <c r="E6" s="21">
        <v>45966.275092592594</v>
      </c>
      <c r="F6" s="20" t="s">
        <v>39</v>
      </c>
      <c r="G6" s="19" t="s">
        <v>42</v>
      </c>
      <c r="H6" s="20" t="s">
        <v>43</v>
      </c>
    </row>
    <row r="7" spans="2:8" x14ac:dyDescent="0.3">
      <c r="C7" s="23" t="s">
        <v>48</v>
      </c>
      <c r="D7" s="19" t="s">
        <v>44</v>
      </c>
      <c r="E7" s="21">
        <v>45929.708310185182</v>
      </c>
      <c r="F7" s="20" t="s">
        <v>39</v>
      </c>
      <c r="G7" s="19" t="s">
        <v>42</v>
      </c>
      <c r="H7" s="20" t="s">
        <v>49</v>
      </c>
    </row>
    <row r="8" spans="2:8" x14ac:dyDescent="0.3">
      <c r="C8" s="23" t="s">
        <v>51</v>
      </c>
      <c r="D8" s="19" t="s">
        <v>44</v>
      </c>
      <c r="E8" s="21">
        <v>45859.759722222218</v>
      </c>
      <c r="F8" s="20" t="s">
        <v>50</v>
      </c>
      <c r="G8" s="19" t="s">
        <v>42</v>
      </c>
      <c r="H8" s="20" t="s">
        <v>47</v>
      </c>
    </row>
    <row r="9" spans="2:8" x14ac:dyDescent="0.3">
      <c r="C9" s="23" t="s">
        <v>52</v>
      </c>
      <c r="D9" s="19" t="s">
        <v>41</v>
      </c>
      <c r="E9" s="21">
        <v>45756.030393518515</v>
      </c>
      <c r="F9" s="20" t="s">
        <v>45</v>
      </c>
      <c r="G9" s="19" t="s">
        <v>42</v>
      </c>
      <c r="H9" s="20" t="s">
        <v>53</v>
      </c>
    </row>
    <row r="10" spans="2:8" x14ac:dyDescent="0.3">
      <c r="C10" s="23" t="s">
        <v>4</v>
      </c>
      <c r="D10" s="19" t="s">
        <v>44</v>
      </c>
      <c r="E10" s="21">
        <v>45754.510092592587</v>
      </c>
      <c r="F10" s="20" t="s">
        <v>50</v>
      </c>
      <c r="G10" s="19" t="s">
        <v>42</v>
      </c>
      <c r="H10" s="20" t="s">
        <v>53</v>
      </c>
    </row>
    <row r="11" spans="2:8" hidden="1" x14ac:dyDescent="0.3">
      <c r="B11" s="1" t="s">
        <v>41</v>
      </c>
      <c r="C11" s="23" t="s">
        <v>309</v>
      </c>
      <c r="D11" s="23"/>
      <c r="E11" s="21">
        <v>45727.928032407406</v>
      </c>
      <c r="F11" s="20" t="s">
        <v>45</v>
      </c>
      <c r="G11" s="19" t="s">
        <v>42</v>
      </c>
      <c r="H11" s="20" t="s">
        <v>53</v>
      </c>
    </row>
    <row r="12" spans="2:8" hidden="1" x14ac:dyDescent="0.3">
      <c r="C12" s="23" t="s">
        <v>310</v>
      </c>
      <c r="D12" s="23"/>
      <c r="E12" s="21">
        <v>45699.493090277778</v>
      </c>
      <c r="F12" s="20" t="s">
        <v>46</v>
      </c>
      <c r="G12" s="19" t="s">
        <v>42</v>
      </c>
      <c r="H12" s="20" t="s">
        <v>53</v>
      </c>
    </row>
    <row r="13" spans="2:8" hidden="1" x14ac:dyDescent="0.3">
      <c r="C13" s="23" t="s">
        <v>278</v>
      </c>
      <c r="D13" s="23"/>
      <c r="E13" s="21">
        <v>45678.775567129625</v>
      </c>
      <c r="F13" s="20" t="s">
        <v>50</v>
      </c>
      <c r="G13" s="19" t="s">
        <v>42</v>
      </c>
      <c r="H13" s="20" t="s">
        <v>53</v>
      </c>
    </row>
    <row r="14" spans="2:8" hidden="1" x14ac:dyDescent="0.3">
      <c r="C14" s="23" t="s">
        <v>144</v>
      </c>
      <c r="D14" s="23"/>
      <c r="E14" s="21">
        <v>45673.918287037035</v>
      </c>
      <c r="F14" s="20" t="s">
        <v>45</v>
      </c>
      <c r="G14" s="19" t="s">
        <v>42</v>
      </c>
      <c r="H14" s="20" t="s">
        <v>53</v>
      </c>
    </row>
    <row r="19" spans="2:2" x14ac:dyDescent="0.3">
      <c r="B19" t="s">
        <v>325</v>
      </c>
    </row>
  </sheetData>
  <autoFilter ref="C3:H14" xr:uid="{82015CEF-33D7-42A5-92AD-294BFD9C8F31}">
    <filterColumn colId="2">
      <filters>
        <dateGroupItem year="2026" dateTimeGrouping="year"/>
        <dateGroupItem year="2025" month="4" dateTimeGrouping="month"/>
        <dateGroupItem year="2025" month="7" dateTimeGrouping="month"/>
        <dateGroupItem year="2025" month="9" dateTimeGrouping="month"/>
        <dateGroupItem year="2025" month="11" dateTimeGrouping="month"/>
      </filters>
    </filterColumn>
  </autoFilter>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D9435-EA32-450D-87F4-670906B38CAB}">
  <sheetPr filterMode="1"/>
  <dimension ref="A1:P132"/>
  <sheetViews>
    <sheetView tabSelected="1" topLeftCell="G117" zoomScale="191" zoomScaleNormal="191" workbookViewId="0">
      <selection activeCell="H126" sqref="H126"/>
    </sheetView>
  </sheetViews>
  <sheetFormatPr baseColWidth="10" defaultRowHeight="14.4" x14ac:dyDescent="0.3"/>
  <cols>
    <col min="1" max="1" width="22" style="4" customWidth="1"/>
    <col min="2" max="3" width="20.21875" customWidth="1"/>
    <col min="4" max="4" width="25.21875" customWidth="1"/>
    <col min="5" max="5" width="23.21875" customWidth="1"/>
    <col min="6" max="7" width="22.77734375" customWidth="1"/>
    <col min="8" max="8" width="73.6640625" customWidth="1"/>
    <col min="9" max="9" width="52.88671875" customWidth="1"/>
    <col min="10" max="10" width="81.77734375" customWidth="1"/>
    <col min="11" max="11" width="20.88671875" customWidth="1"/>
    <col min="12" max="12" width="11.109375" customWidth="1"/>
    <col min="15" max="15" width="19.5546875" customWidth="1"/>
    <col min="16" max="16" width="21.77734375" customWidth="1"/>
  </cols>
  <sheetData>
    <row r="1" spans="1:16" x14ac:dyDescent="0.3">
      <c r="A1" s="76"/>
      <c r="B1" s="77"/>
      <c r="C1" s="77"/>
      <c r="D1" s="77"/>
      <c r="E1" s="77"/>
    </row>
    <row r="2" spans="1:16" x14ac:dyDescent="0.3">
      <c r="A2" s="76"/>
      <c r="B2" s="77"/>
      <c r="C2" s="77"/>
      <c r="D2" s="77"/>
      <c r="E2" s="77"/>
      <c r="I2" t="str">
        <f>IF(H4="","",
IF(ISNUMBER(SEARCH("Leak",H4)),"Machine",
IF(ISNUMBER(SEARCH("Missing",H4)),"Manpower",
IF(ISNUMBER(SEARCH("Dim",H4)),"Method",
"Material"))))</f>
        <v/>
      </c>
    </row>
    <row r="3" spans="1:16" x14ac:dyDescent="0.3">
      <c r="A3" s="76"/>
      <c r="B3" s="77"/>
      <c r="C3" s="77"/>
      <c r="D3" s="77"/>
      <c r="E3" s="77"/>
    </row>
    <row r="4" spans="1:16" x14ac:dyDescent="0.3">
      <c r="I4" t="str">
        <f>IF(H4="","",
IF(ISNUMBER(SEARCH("Leak",H4)),"Machine",
IF(ISNUMBER(SEARCH("Missing",H4)),"Manpower",
IF(ISNUMBER(SEARCH("Dim",H4)),"Method",
"Material"))))</f>
        <v/>
      </c>
    </row>
    <row r="5" spans="1:16" x14ac:dyDescent="0.3">
      <c r="A5" s="62"/>
      <c r="B5" s="61"/>
      <c r="D5" s="61"/>
      <c r="F5" s="61"/>
      <c r="G5" s="61"/>
      <c r="H5" s="61"/>
      <c r="I5" s="61"/>
      <c r="K5" s="61"/>
      <c r="L5" s="61"/>
      <c r="N5" s="61"/>
    </row>
    <row r="6" spans="1:16" ht="47.4" customHeight="1" x14ac:dyDescent="0.3">
      <c r="A6" s="39" t="s">
        <v>24</v>
      </c>
      <c r="B6" s="40" t="s">
        <v>25</v>
      </c>
      <c r="C6" s="40" t="s">
        <v>335</v>
      </c>
      <c r="D6" s="40" t="s">
        <v>26</v>
      </c>
      <c r="E6" s="40" t="s">
        <v>23</v>
      </c>
      <c r="F6" s="40" t="s">
        <v>27</v>
      </c>
      <c r="G6" s="40" t="s">
        <v>448</v>
      </c>
      <c r="H6" s="40" t="s">
        <v>28</v>
      </c>
      <c r="I6" s="40" t="s">
        <v>417</v>
      </c>
      <c r="J6" s="40" t="s">
        <v>192</v>
      </c>
      <c r="K6" s="40" t="s">
        <v>29</v>
      </c>
      <c r="L6" s="40" t="s">
        <v>293</v>
      </c>
      <c r="M6" s="40" t="s">
        <v>372</v>
      </c>
      <c r="N6" s="40" t="s">
        <v>423</v>
      </c>
      <c r="O6" s="40" t="s">
        <v>312</v>
      </c>
      <c r="P6" s="40" t="s">
        <v>301</v>
      </c>
    </row>
    <row r="7" spans="1:16" ht="43.05" hidden="1" customHeight="1" x14ac:dyDescent="0.35">
      <c r="A7" s="7">
        <v>45300</v>
      </c>
      <c r="B7" s="8" t="s">
        <v>225</v>
      </c>
      <c r="C7" s="8" t="s">
        <v>336</v>
      </c>
      <c r="D7" s="9"/>
      <c r="E7" s="10"/>
      <c r="F7" s="8" t="s">
        <v>17</v>
      </c>
      <c r="G7" s="8"/>
      <c r="H7" s="8" t="s">
        <v>226</v>
      </c>
      <c r="I7" s="9"/>
      <c r="J7" s="9"/>
      <c r="K7" s="9"/>
      <c r="L7" s="16"/>
      <c r="M7" s="16"/>
      <c r="N7" s="16"/>
      <c r="O7" s="16"/>
      <c r="P7" s="16"/>
    </row>
    <row r="8" spans="1:16" ht="89.55" hidden="1" customHeight="1" x14ac:dyDescent="0.35">
      <c r="A8" s="7">
        <v>45308</v>
      </c>
      <c r="B8" s="8" t="s">
        <v>224</v>
      </c>
      <c r="C8" s="8" t="s">
        <v>336</v>
      </c>
      <c r="D8" s="9"/>
      <c r="E8" s="8" t="s">
        <v>70</v>
      </c>
      <c r="F8" s="8" t="s">
        <v>103</v>
      </c>
      <c r="G8" s="8"/>
      <c r="H8" s="10"/>
      <c r="I8" s="9"/>
      <c r="J8" s="9"/>
      <c r="K8" s="9"/>
      <c r="L8" s="16"/>
      <c r="M8" s="16"/>
      <c r="N8" s="16"/>
      <c r="O8" s="16"/>
      <c r="P8" s="16"/>
    </row>
    <row r="9" spans="1:16" ht="48.6" hidden="1" customHeight="1" x14ac:dyDescent="0.35">
      <c r="A9" s="7">
        <v>45308</v>
      </c>
      <c r="B9" s="8" t="s">
        <v>229</v>
      </c>
      <c r="C9" s="8" t="s">
        <v>336</v>
      </c>
      <c r="D9" s="26" t="s">
        <v>230</v>
      </c>
      <c r="E9" s="8" t="s">
        <v>227</v>
      </c>
      <c r="F9" s="8" t="s">
        <v>17</v>
      </c>
      <c r="G9" s="8"/>
      <c r="H9" s="10" t="s">
        <v>228</v>
      </c>
      <c r="I9" s="9"/>
      <c r="J9" s="9"/>
      <c r="K9" s="9"/>
      <c r="L9" s="16"/>
      <c r="M9" s="16"/>
      <c r="N9" s="16"/>
      <c r="O9" s="16"/>
      <c r="P9" s="16"/>
    </row>
    <row r="10" spans="1:16" ht="81.45" hidden="1" customHeight="1" x14ac:dyDescent="0.35">
      <c r="A10" s="7">
        <v>45308</v>
      </c>
      <c r="B10" s="8" t="s">
        <v>233</v>
      </c>
      <c r="C10" s="8" t="s">
        <v>336</v>
      </c>
      <c r="D10" s="9"/>
      <c r="E10" s="8" t="s">
        <v>70</v>
      </c>
      <c r="F10" s="8" t="s">
        <v>232</v>
      </c>
      <c r="G10" s="8"/>
      <c r="H10" s="8" t="s">
        <v>231</v>
      </c>
      <c r="I10" s="9"/>
      <c r="J10" s="9"/>
      <c r="K10" s="9"/>
      <c r="L10" s="16"/>
      <c r="M10" s="16"/>
      <c r="N10" s="16"/>
      <c r="O10" s="16"/>
      <c r="P10" s="16"/>
    </row>
    <row r="11" spans="1:16" ht="111" hidden="1" customHeight="1" x14ac:dyDescent="0.35">
      <c r="A11" s="7">
        <v>45317</v>
      </c>
      <c r="B11" s="8" t="s">
        <v>234</v>
      </c>
      <c r="C11" s="8" t="s">
        <v>336</v>
      </c>
      <c r="D11" s="9"/>
      <c r="E11" s="9"/>
      <c r="F11" s="8" t="s">
        <v>232</v>
      </c>
      <c r="G11" s="8"/>
      <c r="H11" s="8" t="s">
        <v>235</v>
      </c>
      <c r="I11" s="9"/>
      <c r="J11" s="9"/>
      <c r="K11" s="9"/>
      <c r="L11" s="16"/>
      <c r="M11" s="16"/>
      <c r="N11" s="16"/>
      <c r="O11" s="16"/>
      <c r="P11" s="16"/>
    </row>
    <row r="12" spans="1:16" ht="117" hidden="1" customHeight="1" x14ac:dyDescent="0.35">
      <c r="A12" s="7">
        <v>45325</v>
      </c>
      <c r="B12" s="8" t="s">
        <v>246</v>
      </c>
      <c r="C12" s="8" t="s">
        <v>336</v>
      </c>
      <c r="D12" s="8" t="s">
        <v>248</v>
      </c>
      <c r="E12" s="8" t="s">
        <v>247</v>
      </c>
      <c r="F12" s="8" t="s">
        <v>32</v>
      </c>
      <c r="G12" s="8"/>
      <c r="H12" s="8" t="s">
        <v>244</v>
      </c>
      <c r="I12" s="9"/>
      <c r="J12" s="26" t="s">
        <v>245</v>
      </c>
      <c r="K12" s="9"/>
      <c r="L12" s="16"/>
      <c r="M12" s="16"/>
      <c r="N12" s="16"/>
      <c r="O12" s="16"/>
      <c r="P12" s="16"/>
    </row>
    <row r="13" spans="1:16" ht="127.95" hidden="1" customHeight="1" x14ac:dyDescent="0.35">
      <c r="A13" s="27">
        <v>45348</v>
      </c>
      <c r="B13" s="8" t="s">
        <v>243</v>
      </c>
      <c r="C13" s="8" t="s">
        <v>336</v>
      </c>
      <c r="D13" s="3" t="s">
        <v>230</v>
      </c>
      <c r="E13" s="8" t="s">
        <v>241</v>
      </c>
      <c r="F13" s="8" t="s">
        <v>32</v>
      </c>
      <c r="G13" s="8"/>
      <c r="H13" s="3" t="s">
        <v>240</v>
      </c>
      <c r="I13" s="8"/>
      <c r="J13" s="3" t="s">
        <v>242</v>
      </c>
      <c r="K13" s="9"/>
      <c r="L13" s="16"/>
      <c r="M13" s="16"/>
      <c r="N13" s="16"/>
      <c r="O13" s="16"/>
      <c r="P13" s="16"/>
    </row>
    <row r="14" spans="1:16" ht="33" hidden="1" customHeight="1" x14ac:dyDescent="0.35">
      <c r="A14" s="7">
        <v>45350</v>
      </c>
      <c r="B14" s="8" t="s">
        <v>237</v>
      </c>
      <c r="C14" s="8" t="s">
        <v>336</v>
      </c>
      <c r="D14" s="8" t="s">
        <v>58</v>
      </c>
      <c r="E14" s="8" t="s">
        <v>236</v>
      </c>
      <c r="F14" s="8" t="s">
        <v>32</v>
      </c>
      <c r="G14" s="8"/>
      <c r="H14" s="8" t="s">
        <v>238</v>
      </c>
      <c r="I14" s="9"/>
      <c r="J14" s="26" t="s">
        <v>239</v>
      </c>
      <c r="K14" s="9"/>
      <c r="L14" s="16"/>
      <c r="M14" s="16"/>
      <c r="N14" s="16"/>
      <c r="O14" s="16"/>
      <c r="P14" s="16"/>
    </row>
    <row r="15" spans="1:16" ht="74.55" hidden="1" customHeight="1" x14ac:dyDescent="0.35">
      <c r="A15" s="7">
        <v>45357</v>
      </c>
      <c r="B15" s="8" t="s">
        <v>332</v>
      </c>
      <c r="C15" s="8" t="s">
        <v>336</v>
      </c>
      <c r="D15" s="8" t="s">
        <v>66</v>
      </c>
      <c r="E15" s="8" t="s">
        <v>256</v>
      </c>
      <c r="F15" s="8" t="s">
        <v>200</v>
      </c>
      <c r="G15" s="8"/>
      <c r="H15" s="8" t="s">
        <v>257</v>
      </c>
      <c r="I15" s="9"/>
      <c r="J15" s="9"/>
      <c r="K15" s="9"/>
      <c r="L15" s="16"/>
      <c r="M15" s="16"/>
      <c r="N15" s="16"/>
      <c r="O15" s="16"/>
      <c r="P15" s="16"/>
    </row>
    <row r="16" spans="1:16" ht="75.45" hidden="1" customHeight="1" x14ac:dyDescent="0.35">
      <c r="A16" s="7">
        <v>45357</v>
      </c>
      <c r="B16" s="8" t="s">
        <v>261</v>
      </c>
      <c r="C16" s="8" t="s">
        <v>336</v>
      </c>
      <c r="D16" s="9"/>
      <c r="E16" s="9"/>
      <c r="F16" s="8" t="s">
        <v>232</v>
      </c>
      <c r="G16" s="8"/>
      <c r="H16" s="8"/>
      <c r="I16" s="9"/>
      <c r="J16" s="9"/>
      <c r="K16" s="9"/>
      <c r="L16" s="11"/>
      <c r="M16" s="16"/>
      <c r="N16" s="16"/>
      <c r="O16" s="16"/>
      <c r="P16" s="16"/>
    </row>
    <row r="17" spans="1:16" ht="104.55" hidden="1" customHeight="1" x14ac:dyDescent="0.35">
      <c r="A17" s="7">
        <v>45370</v>
      </c>
      <c r="B17" s="8" t="s">
        <v>254</v>
      </c>
      <c r="C17" s="8" t="s">
        <v>336</v>
      </c>
      <c r="D17" s="8" t="s">
        <v>58</v>
      </c>
      <c r="E17" s="8" t="s">
        <v>252</v>
      </c>
      <c r="F17" s="8" t="s">
        <v>253</v>
      </c>
      <c r="G17" s="8"/>
      <c r="H17" s="8" t="s">
        <v>255</v>
      </c>
      <c r="I17" s="9"/>
      <c r="J17" s="9"/>
      <c r="K17" s="9" t="s">
        <v>258</v>
      </c>
      <c r="L17" s="11"/>
      <c r="M17" s="16"/>
      <c r="N17" s="16"/>
      <c r="O17" s="16"/>
      <c r="P17" s="16"/>
    </row>
    <row r="18" spans="1:16" ht="43.5" hidden="1" customHeight="1" x14ac:dyDescent="0.35">
      <c r="A18" s="7">
        <v>45379</v>
      </c>
      <c r="B18" s="8" t="s">
        <v>259</v>
      </c>
      <c r="C18" s="8" t="s">
        <v>336</v>
      </c>
      <c r="D18" s="8" t="s">
        <v>260</v>
      </c>
      <c r="E18" s="8" t="s">
        <v>260</v>
      </c>
      <c r="F18" s="8" t="s">
        <v>32</v>
      </c>
      <c r="G18" s="8"/>
      <c r="H18" s="8" t="s">
        <v>260</v>
      </c>
      <c r="I18" s="10"/>
      <c r="J18" s="10"/>
      <c r="K18" s="10"/>
      <c r="L18" s="11"/>
      <c r="M18" s="16"/>
      <c r="N18" s="16"/>
      <c r="O18" s="16"/>
      <c r="P18" s="16"/>
    </row>
    <row r="19" spans="1:16" ht="73.95" hidden="1" customHeight="1" x14ac:dyDescent="0.35">
      <c r="A19" s="7">
        <v>45380</v>
      </c>
      <c r="B19" s="8" t="s">
        <v>262</v>
      </c>
      <c r="C19" s="8" t="s">
        <v>336</v>
      </c>
      <c r="D19" s="9"/>
      <c r="E19" s="9"/>
      <c r="F19" s="8" t="s">
        <v>232</v>
      </c>
      <c r="G19" s="8"/>
      <c r="H19" s="9" t="s">
        <v>263</v>
      </c>
      <c r="I19" s="9"/>
      <c r="J19" s="9"/>
      <c r="K19" s="9"/>
      <c r="L19" s="11"/>
      <c r="M19" s="16"/>
      <c r="N19" s="16"/>
      <c r="O19" s="16"/>
      <c r="P19" s="16"/>
    </row>
    <row r="20" spans="1:16" ht="91.5" hidden="1" customHeight="1" x14ac:dyDescent="0.3">
      <c r="A20" s="28">
        <v>45385</v>
      </c>
      <c r="B20" s="29" t="s">
        <v>127</v>
      </c>
      <c r="C20" s="8" t="s">
        <v>336</v>
      </c>
      <c r="D20" s="28" t="s">
        <v>158</v>
      </c>
      <c r="E20" s="30" t="s">
        <v>142</v>
      </c>
      <c r="F20" s="6" t="s">
        <v>32</v>
      </c>
      <c r="G20" s="6"/>
      <c r="H20" s="6" t="s">
        <v>136</v>
      </c>
      <c r="I20" s="30"/>
      <c r="J20" s="30" t="s">
        <v>150</v>
      </c>
      <c r="K20" s="8" t="s">
        <v>73</v>
      </c>
      <c r="L20" s="11"/>
      <c r="M20" s="16"/>
      <c r="N20" s="16"/>
      <c r="O20" s="16"/>
      <c r="P20" s="16"/>
    </row>
    <row r="21" spans="1:16" ht="51" hidden="1" customHeight="1" x14ac:dyDescent="0.3">
      <c r="A21" s="7">
        <v>45404</v>
      </c>
      <c r="B21" s="8" t="s">
        <v>195</v>
      </c>
      <c r="C21" s="8" t="s">
        <v>336</v>
      </c>
      <c r="D21" s="8" t="s">
        <v>67</v>
      </c>
      <c r="E21" s="8" t="s">
        <v>170</v>
      </c>
      <c r="F21" s="8" t="s">
        <v>32</v>
      </c>
      <c r="G21" s="8"/>
      <c r="H21" s="17" t="s">
        <v>251</v>
      </c>
      <c r="I21" s="3" t="s">
        <v>250</v>
      </c>
      <c r="J21" s="3" t="s">
        <v>249</v>
      </c>
      <c r="K21" s="8" t="s">
        <v>2</v>
      </c>
      <c r="L21" s="11"/>
      <c r="M21" s="16"/>
      <c r="N21" s="16"/>
      <c r="O21" s="16"/>
      <c r="P21" s="16"/>
    </row>
    <row r="22" spans="1:16" ht="36" hidden="1" customHeight="1" x14ac:dyDescent="0.35">
      <c r="A22" s="7">
        <v>45419</v>
      </c>
      <c r="B22" s="8">
        <v>1441686380</v>
      </c>
      <c r="C22" s="8" t="s">
        <v>336</v>
      </c>
      <c r="D22" s="8" t="s">
        <v>66</v>
      </c>
      <c r="E22" s="8" t="s">
        <v>169</v>
      </c>
      <c r="F22" s="8" t="s">
        <v>69</v>
      </c>
      <c r="G22" s="8"/>
      <c r="H22" s="9"/>
      <c r="I22" s="9"/>
      <c r="J22" s="9"/>
      <c r="K22" s="8"/>
      <c r="L22" s="11"/>
      <c r="M22" s="16"/>
      <c r="N22" s="16"/>
      <c r="O22" s="16"/>
      <c r="P22" s="16"/>
    </row>
    <row r="23" spans="1:16" ht="67.95" hidden="1" customHeight="1" x14ac:dyDescent="0.35">
      <c r="A23" s="7">
        <v>45437</v>
      </c>
      <c r="B23" s="8" t="s">
        <v>195</v>
      </c>
      <c r="C23" s="8" t="s">
        <v>336</v>
      </c>
      <c r="D23" s="8" t="s">
        <v>67</v>
      </c>
      <c r="E23" s="8" t="s">
        <v>171</v>
      </c>
      <c r="F23" s="8" t="s">
        <v>69</v>
      </c>
      <c r="G23" s="8"/>
      <c r="H23" s="9"/>
      <c r="I23" s="9"/>
      <c r="J23" s="9"/>
      <c r="K23" s="8" t="s">
        <v>2</v>
      </c>
      <c r="L23" s="11"/>
      <c r="M23" s="16"/>
      <c r="N23" s="16"/>
      <c r="O23" s="16"/>
      <c r="P23" s="16"/>
    </row>
    <row r="24" spans="1:16" ht="16.5" hidden="1" customHeight="1" x14ac:dyDescent="0.35">
      <c r="A24" s="7">
        <v>45446</v>
      </c>
      <c r="B24" s="8" t="s">
        <v>118</v>
      </c>
      <c r="C24" s="8" t="s">
        <v>336</v>
      </c>
      <c r="D24" s="8" t="s">
        <v>79</v>
      </c>
      <c r="E24" s="8" t="s">
        <v>117</v>
      </c>
      <c r="F24" s="6" t="s">
        <v>32</v>
      </c>
      <c r="G24" s="6"/>
      <c r="H24" s="8" t="s">
        <v>119</v>
      </c>
      <c r="I24" s="3" t="s">
        <v>120</v>
      </c>
      <c r="J24" s="26" t="s">
        <v>121</v>
      </c>
      <c r="K24" s="8" t="s">
        <v>2</v>
      </c>
      <c r="L24" s="11"/>
      <c r="M24" s="16"/>
      <c r="N24" s="16"/>
      <c r="O24" s="16"/>
      <c r="P24" s="16"/>
    </row>
    <row r="25" spans="1:16" ht="16.5" hidden="1" customHeight="1" x14ac:dyDescent="0.3">
      <c r="A25" s="7">
        <v>45446</v>
      </c>
      <c r="B25" s="8" t="s">
        <v>114</v>
      </c>
      <c r="C25" s="8" t="s">
        <v>336</v>
      </c>
      <c r="D25" s="8" t="s">
        <v>81</v>
      </c>
      <c r="E25" s="8" t="s">
        <v>111</v>
      </c>
      <c r="F25" s="6" t="s">
        <v>112</v>
      </c>
      <c r="G25" s="6"/>
      <c r="H25" s="8" t="s">
        <v>113</v>
      </c>
      <c r="I25" s="8"/>
      <c r="J25" s="8"/>
      <c r="K25" s="8" t="s">
        <v>2</v>
      </c>
      <c r="L25" s="11"/>
      <c r="M25" s="16"/>
      <c r="N25" s="16"/>
      <c r="O25" s="16"/>
      <c r="P25" s="16"/>
    </row>
    <row r="26" spans="1:16" ht="26.55" hidden="1" customHeight="1" x14ac:dyDescent="0.35">
      <c r="A26" s="7">
        <v>45449</v>
      </c>
      <c r="B26" s="8" t="s">
        <v>195</v>
      </c>
      <c r="C26" s="8" t="s">
        <v>336</v>
      </c>
      <c r="D26" s="8" t="s">
        <v>67</v>
      </c>
      <c r="E26" s="8" t="s">
        <v>172</v>
      </c>
      <c r="F26" s="8" t="s">
        <v>69</v>
      </c>
      <c r="G26" s="8"/>
      <c r="H26" s="9"/>
      <c r="I26" s="9"/>
      <c r="J26" s="9"/>
      <c r="K26" s="8" t="s">
        <v>2</v>
      </c>
      <c r="L26" s="11"/>
      <c r="M26" s="16"/>
      <c r="N26" s="16"/>
      <c r="O26" s="16"/>
      <c r="P26" s="16"/>
    </row>
    <row r="27" spans="1:16" ht="51" hidden="1" customHeight="1" x14ac:dyDescent="0.3">
      <c r="A27" s="7">
        <v>45482</v>
      </c>
      <c r="B27" s="8" t="s">
        <v>123</v>
      </c>
      <c r="C27" s="8" t="s">
        <v>336</v>
      </c>
      <c r="D27" s="8" t="s">
        <v>92</v>
      </c>
      <c r="E27" s="8" t="s">
        <v>122</v>
      </c>
      <c r="F27" s="6" t="s">
        <v>32</v>
      </c>
      <c r="G27" s="6"/>
      <c r="H27" s="8" t="s">
        <v>126</v>
      </c>
      <c r="I27" s="3" t="s">
        <v>124</v>
      </c>
      <c r="J27" s="3" t="s">
        <v>125</v>
      </c>
      <c r="K27" s="8" t="s">
        <v>2</v>
      </c>
      <c r="L27" s="11"/>
      <c r="M27" s="16"/>
      <c r="N27" s="16"/>
      <c r="O27" s="16"/>
      <c r="P27" s="16"/>
    </row>
    <row r="28" spans="1:16" ht="42" hidden="1" customHeight="1" x14ac:dyDescent="0.35">
      <c r="A28" s="31">
        <v>45490</v>
      </c>
      <c r="B28" s="29" t="s">
        <v>128</v>
      </c>
      <c r="C28" s="8" t="s">
        <v>336</v>
      </c>
      <c r="D28" s="29" t="s">
        <v>181</v>
      </c>
      <c r="E28" s="30" t="s">
        <v>173</v>
      </c>
      <c r="F28" s="6" t="s">
        <v>32</v>
      </c>
      <c r="G28" s="6"/>
      <c r="H28" s="6" t="s">
        <v>137</v>
      </c>
      <c r="I28" s="30"/>
      <c r="J28" s="30"/>
      <c r="K28" s="9"/>
      <c r="L28" s="11"/>
      <c r="M28" s="16"/>
      <c r="N28" s="16"/>
      <c r="O28" s="16"/>
      <c r="P28" s="16"/>
    </row>
    <row r="29" spans="1:16" ht="30.45" hidden="1" customHeight="1" x14ac:dyDescent="0.35">
      <c r="A29" s="28">
        <v>45540</v>
      </c>
      <c r="B29" s="29" t="s">
        <v>130</v>
      </c>
      <c r="C29" s="8" t="s">
        <v>336</v>
      </c>
      <c r="D29" s="29" t="s">
        <v>155</v>
      </c>
      <c r="E29" s="30"/>
      <c r="F29" s="6" t="s">
        <v>32</v>
      </c>
      <c r="G29" s="6"/>
      <c r="H29" s="30" t="s">
        <v>139</v>
      </c>
      <c r="I29" s="6" t="s">
        <v>148</v>
      </c>
      <c r="J29" s="6" t="s">
        <v>151</v>
      </c>
      <c r="K29" s="9"/>
      <c r="L29" s="11"/>
      <c r="M29" s="16"/>
      <c r="N29" s="16"/>
      <c r="O29" s="16"/>
      <c r="P29" s="16"/>
    </row>
    <row r="30" spans="1:16" ht="31.5" hidden="1" customHeight="1" x14ac:dyDescent="0.35">
      <c r="A30" s="28">
        <v>45546</v>
      </c>
      <c r="B30" s="29" t="s">
        <v>129</v>
      </c>
      <c r="C30" s="8" t="s">
        <v>336</v>
      </c>
      <c r="D30" s="29" t="s">
        <v>182</v>
      </c>
      <c r="E30" s="30"/>
      <c r="F30" s="6" t="s">
        <v>17</v>
      </c>
      <c r="G30" s="6"/>
      <c r="H30" s="30" t="s">
        <v>138</v>
      </c>
      <c r="I30" s="30"/>
      <c r="J30" s="30"/>
      <c r="K30" s="9"/>
      <c r="L30" s="11"/>
      <c r="M30" s="16"/>
      <c r="N30" s="16"/>
      <c r="O30" s="16"/>
      <c r="P30" s="16"/>
    </row>
    <row r="31" spans="1:16" ht="66" hidden="1" customHeight="1" x14ac:dyDescent="0.35">
      <c r="A31" s="7">
        <v>45546</v>
      </c>
      <c r="B31" s="8" t="s">
        <v>189</v>
      </c>
      <c r="C31" s="8" t="s">
        <v>336</v>
      </c>
      <c r="D31" s="8" t="s">
        <v>190</v>
      </c>
      <c r="E31" s="8" t="s">
        <v>162</v>
      </c>
      <c r="F31" s="8" t="s">
        <v>17</v>
      </c>
      <c r="G31" s="8"/>
      <c r="H31" s="8" t="s">
        <v>188</v>
      </c>
      <c r="I31" s="9"/>
      <c r="J31" s="26" t="s">
        <v>191</v>
      </c>
      <c r="K31" s="9"/>
      <c r="L31" s="11"/>
      <c r="M31" s="16"/>
      <c r="N31" s="16"/>
      <c r="O31" s="16"/>
      <c r="P31" s="16"/>
    </row>
    <row r="32" spans="1:16" ht="28.5" hidden="1" customHeight="1" x14ac:dyDescent="0.35">
      <c r="A32" s="7">
        <v>45548</v>
      </c>
      <c r="B32" s="8" t="s">
        <v>282</v>
      </c>
      <c r="C32" s="8" t="s">
        <v>336</v>
      </c>
      <c r="D32" s="8" t="s">
        <v>58</v>
      </c>
      <c r="E32" s="8" t="s">
        <v>161</v>
      </c>
      <c r="F32" s="8" t="s">
        <v>32</v>
      </c>
      <c r="G32" s="8"/>
      <c r="H32" s="8" t="s">
        <v>183</v>
      </c>
      <c r="I32" s="9"/>
      <c r="J32" s="26" t="s">
        <v>184</v>
      </c>
      <c r="K32" s="8" t="s">
        <v>72</v>
      </c>
      <c r="L32" s="16"/>
      <c r="M32" s="16"/>
      <c r="N32" s="16"/>
      <c r="O32" s="16"/>
      <c r="P32" s="16"/>
    </row>
    <row r="33" spans="1:16" ht="56.55" hidden="1" customHeight="1" x14ac:dyDescent="0.35">
      <c r="A33" s="7">
        <v>45553</v>
      </c>
      <c r="B33" s="8" t="s">
        <v>216</v>
      </c>
      <c r="C33" s="8" t="s">
        <v>336</v>
      </c>
      <c r="D33" s="8" t="s">
        <v>66</v>
      </c>
      <c r="E33" s="8" t="s">
        <v>166</v>
      </c>
      <c r="F33" s="8" t="s">
        <v>69</v>
      </c>
      <c r="G33" s="8"/>
      <c r="H33" s="9"/>
      <c r="I33" s="9"/>
      <c r="J33" s="9"/>
      <c r="K33" s="8"/>
      <c r="L33" s="16"/>
      <c r="M33" s="16"/>
      <c r="N33" s="16"/>
      <c r="O33" s="16"/>
      <c r="P33" s="16"/>
    </row>
    <row r="34" spans="1:16" ht="37.5" hidden="1" customHeight="1" x14ac:dyDescent="0.35">
      <c r="A34" s="28">
        <v>45560</v>
      </c>
      <c r="B34" s="31" t="s">
        <v>131</v>
      </c>
      <c r="C34" s="8" t="s">
        <v>336</v>
      </c>
      <c r="D34" s="30" t="s">
        <v>60</v>
      </c>
      <c r="E34" s="30"/>
      <c r="F34" s="6" t="s">
        <v>32</v>
      </c>
      <c r="G34" s="6"/>
      <c r="H34" s="30" t="s">
        <v>140</v>
      </c>
      <c r="I34" s="6" t="s">
        <v>147</v>
      </c>
      <c r="J34" s="6" t="s">
        <v>152</v>
      </c>
      <c r="K34" s="9"/>
      <c r="L34" s="16"/>
      <c r="M34" s="16"/>
      <c r="N34" s="16"/>
      <c r="O34" s="16"/>
      <c r="P34" s="16"/>
    </row>
    <row r="35" spans="1:16" ht="22.5" hidden="1" customHeight="1" x14ac:dyDescent="0.3">
      <c r="A35" s="31">
        <v>45572</v>
      </c>
      <c r="B35" s="31" t="s">
        <v>7</v>
      </c>
      <c r="C35" s="8" t="s">
        <v>336</v>
      </c>
      <c r="D35" s="31" t="s">
        <v>67</v>
      </c>
      <c r="E35" s="30" t="s">
        <v>174</v>
      </c>
      <c r="F35" s="6" t="s">
        <v>32</v>
      </c>
      <c r="G35" s="6"/>
      <c r="H35" s="32" t="s">
        <v>139</v>
      </c>
      <c r="I35" s="30"/>
      <c r="J35" s="30" t="s">
        <v>8</v>
      </c>
      <c r="K35" s="8" t="s">
        <v>72</v>
      </c>
      <c r="L35" s="16"/>
      <c r="M35" s="16"/>
      <c r="N35" s="16"/>
      <c r="O35" s="16"/>
      <c r="P35" s="16"/>
    </row>
    <row r="36" spans="1:16" ht="82.5" hidden="1" customHeight="1" x14ac:dyDescent="0.35">
      <c r="A36" s="7">
        <v>45572</v>
      </c>
      <c r="B36" s="8" t="s">
        <v>333</v>
      </c>
      <c r="C36" s="8" t="s">
        <v>336</v>
      </c>
      <c r="D36" s="8" t="s">
        <v>66</v>
      </c>
      <c r="E36" s="8" t="s">
        <v>167</v>
      </c>
      <c r="F36" s="8" t="s">
        <v>69</v>
      </c>
      <c r="G36" s="8"/>
      <c r="H36" s="9"/>
      <c r="I36" s="9"/>
      <c r="J36" s="9"/>
      <c r="K36" s="8"/>
      <c r="L36" s="16"/>
      <c r="M36" s="16"/>
      <c r="N36" s="16"/>
      <c r="O36" s="16"/>
      <c r="P36" s="16"/>
    </row>
    <row r="37" spans="1:16" ht="43.05" hidden="1" customHeight="1" x14ac:dyDescent="0.35">
      <c r="A37" s="28">
        <v>45573</v>
      </c>
      <c r="B37" s="31" t="s">
        <v>132</v>
      </c>
      <c r="C37" s="8" t="s">
        <v>336</v>
      </c>
      <c r="D37" s="31" t="s">
        <v>67</v>
      </c>
      <c r="E37" s="30" t="s">
        <v>174</v>
      </c>
      <c r="F37" s="6" t="s">
        <v>69</v>
      </c>
      <c r="G37" s="6"/>
      <c r="H37" s="6" t="s">
        <v>141</v>
      </c>
      <c r="I37" s="30"/>
      <c r="J37" s="6" t="s">
        <v>264</v>
      </c>
      <c r="K37" s="9"/>
      <c r="L37" s="16"/>
      <c r="M37" s="16"/>
      <c r="N37" s="16"/>
      <c r="O37" s="16"/>
      <c r="P37" s="16"/>
    </row>
    <row r="38" spans="1:16" ht="46.5" hidden="1" customHeight="1" x14ac:dyDescent="0.35">
      <c r="A38" s="7">
        <v>45581</v>
      </c>
      <c r="B38" s="8">
        <v>468612620</v>
      </c>
      <c r="C38" s="8" t="s">
        <v>336</v>
      </c>
      <c r="D38" s="8" t="s">
        <v>58</v>
      </c>
      <c r="E38" s="8" t="s">
        <v>159</v>
      </c>
      <c r="F38" s="8" t="s">
        <v>17</v>
      </c>
      <c r="G38" s="8"/>
      <c r="H38" s="26" t="s">
        <v>160</v>
      </c>
      <c r="I38" s="9"/>
      <c r="J38" s="9"/>
      <c r="K38" s="9"/>
      <c r="L38" s="16"/>
      <c r="M38" s="16"/>
      <c r="N38" s="16"/>
      <c r="O38" s="16"/>
      <c r="P38" s="16"/>
    </row>
    <row r="39" spans="1:16" ht="41.55" hidden="1" customHeight="1" x14ac:dyDescent="0.35">
      <c r="A39" s="2">
        <v>45590</v>
      </c>
      <c r="B39" s="3" t="s">
        <v>93</v>
      </c>
      <c r="C39" s="8" t="s">
        <v>336</v>
      </c>
      <c r="D39" s="3" t="s">
        <v>95</v>
      </c>
      <c r="E39" s="3" t="s">
        <v>106</v>
      </c>
      <c r="F39" s="6" t="s">
        <v>32</v>
      </c>
      <c r="G39" s="6"/>
      <c r="H39" s="3" t="s">
        <v>109</v>
      </c>
      <c r="I39" s="3" t="s">
        <v>108</v>
      </c>
      <c r="J39" s="26" t="s">
        <v>107</v>
      </c>
      <c r="K39" s="3" t="s">
        <v>2</v>
      </c>
      <c r="L39" s="16"/>
      <c r="M39" s="16"/>
      <c r="N39" s="16"/>
      <c r="O39" s="16"/>
      <c r="P39" s="16"/>
    </row>
    <row r="40" spans="1:16" ht="107.55" hidden="1" customHeight="1" x14ac:dyDescent="0.3">
      <c r="A40" s="7">
        <v>45631</v>
      </c>
      <c r="B40" s="8" t="s">
        <v>115</v>
      </c>
      <c r="C40" s="8" t="s">
        <v>336</v>
      </c>
      <c r="D40" s="8" t="s">
        <v>116</v>
      </c>
      <c r="E40" s="8" t="s">
        <v>110</v>
      </c>
      <c r="F40" s="6" t="s">
        <v>32</v>
      </c>
      <c r="G40" s="6"/>
      <c r="H40" s="8" t="s">
        <v>275</v>
      </c>
      <c r="I40" s="8"/>
      <c r="J40" s="8"/>
      <c r="K40" s="3" t="s">
        <v>72</v>
      </c>
      <c r="L40" s="16"/>
      <c r="M40" s="16"/>
      <c r="N40" s="16"/>
      <c r="O40" s="16"/>
      <c r="P40" s="16"/>
    </row>
    <row r="41" spans="1:16" ht="59.55" hidden="1" customHeight="1" x14ac:dyDescent="0.35">
      <c r="A41" s="28">
        <v>45637</v>
      </c>
      <c r="B41" s="31" t="s">
        <v>133</v>
      </c>
      <c r="C41" s="8" t="s">
        <v>336</v>
      </c>
      <c r="D41" s="3" t="s">
        <v>76</v>
      </c>
      <c r="E41" s="33" t="s">
        <v>143</v>
      </c>
      <c r="F41" s="6" t="s">
        <v>32</v>
      </c>
      <c r="G41" s="6"/>
      <c r="H41" s="6" t="s">
        <v>187</v>
      </c>
      <c r="I41" s="6" t="s">
        <v>185</v>
      </c>
      <c r="J41" s="6" t="s">
        <v>153</v>
      </c>
      <c r="K41" s="26" t="s">
        <v>186</v>
      </c>
      <c r="L41" s="16"/>
      <c r="M41" s="16"/>
      <c r="N41" s="16"/>
      <c r="O41" s="16"/>
      <c r="P41" s="16"/>
    </row>
    <row r="42" spans="1:16" ht="59.55" hidden="1" customHeight="1" x14ac:dyDescent="0.3">
      <c r="A42" s="28">
        <v>45673</v>
      </c>
      <c r="B42" s="28" t="s">
        <v>5</v>
      </c>
      <c r="C42" s="8" t="s">
        <v>336</v>
      </c>
      <c r="D42" s="28" t="s">
        <v>197</v>
      </c>
      <c r="E42" s="33" t="s">
        <v>144</v>
      </c>
      <c r="F42" s="6" t="s">
        <v>32</v>
      </c>
      <c r="G42" s="6"/>
      <c r="H42" s="6" t="s">
        <v>280</v>
      </c>
      <c r="I42" s="34"/>
      <c r="J42" s="6" t="s">
        <v>281</v>
      </c>
      <c r="K42" s="8" t="s">
        <v>72</v>
      </c>
      <c r="L42" s="16"/>
      <c r="M42" s="16"/>
      <c r="N42" s="16"/>
      <c r="O42" s="16"/>
      <c r="P42" s="16"/>
    </row>
    <row r="43" spans="1:16" ht="36" hidden="1" customHeight="1" x14ac:dyDescent="0.35">
      <c r="A43" s="7">
        <v>45674</v>
      </c>
      <c r="B43" s="8" t="s">
        <v>334</v>
      </c>
      <c r="C43" s="8" t="s">
        <v>336</v>
      </c>
      <c r="D43" s="8" t="s">
        <v>66</v>
      </c>
      <c r="E43" s="8" t="s">
        <v>165</v>
      </c>
      <c r="F43" s="8" t="s">
        <v>17</v>
      </c>
      <c r="G43" s="8"/>
      <c r="H43" s="9"/>
      <c r="I43" s="9"/>
      <c r="J43" s="9"/>
      <c r="K43" s="8"/>
      <c r="L43" s="16"/>
      <c r="M43" s="16"/>
      <c r="N43" s="16"/>
      <c r="O43" s="16"/>
      <c r="P43" s="16"/>
    </row>
    <row r="44" spans="1:16" ht="34.950000000000003" hidden="1" customHeight="1" x14ac:dyDescent="0.35">
      <c r="A44" s="7">
        <v>45678</v>
      </c>
      <c r="B44" s="8" t="s">
        <v>3</v>
      </c>
      <c r="C44" s="8" t="s">
        <v>352</v>
      </c>
      <c r="D44" s="3" t="s">
        <v>76</v>
      </c>
      <c r="E44" s="8" t="s">
        <v>278</v>
      </c>
      <c r="F44" s="8" t="s">
        <v>32</v>
      </c>
      <c r="G44" s="8"/>
      <c r="H44" s="8" t="s">
        <v>279</v>
      </c>
      <c r="I44" s="9"/>
      <c r="J44" s="9"/>
      <c r="K44" s="8" t="s">
        <v>73</v>
      </c>
      <c r="L44" s="12" t="s">
        <v>353</v>
      </c>
      <c r="M44" s="16"/>
      <c r="N44" s="16"/>
      <c r="O44" s="41" t="s">
        <v>354</v>
      </c>
      <c r="P44" s="16"/>
    </row>
    <row r="45" spans="1:16" ht="28.05" hidden="1" customHeight="1" x14ac:dyDescent="0.35">
      <c r="A45" s="7">
        <v>45684</v>
      </c>
      <c r="B45" s="8" t="s">
        <v>195</v>
      </c>
      <c r="C45" s="8">
        <v>9849466680</v>
      </c>
      <c r="D45" s="8" t="s">
        <v>67</v>
      </c>
      <c r="E45" s="8" t="s">
        <v>349</v>
      </c>
      <c r="F45" s="8" t="s">
        <v>32</v>
      </c>
      <c r="G45" s="8"/>
      <c r="H45" s="26" t="s">
        <v>355</v>
      </c>
      <c r="I45" s="9"/>
      <c r="J45" s="26" t="s">
        <v>350</v>
      </c>
      <c r="K45" s="8" t="s">
        <v>2</v>
      </c>
      <c r="L45" s="42" t="s">
        <v>351</v>
      </c>
      <c r="M45" s="16"/>
      <c r="N45" s="16"/>
      <c r="O45" s="16"/>
      <c r="P45" s="16"/>
    </row>
    <row r="46" spans="1:16" ht="96" hidden="1" customHeight="1" x14ac:dyDescent="0.35">
      <c r="A46" s="28">
        <v>45687</v>
      </c>
      <c r="B46" s="28" t="s">
        <v>134</v>
      </c>
      <c r="C46" s="8" t="s">
        <v>336</v>
      </c>
      <c r="D46" s="28" t="s">
        <v>60</v>
      </c>
      <c r="E46" s="34"/>
      <c r="F46" s="6" t="s">
        <v>32</v>
      </c>
      <c r="G46" s="6"/>
      <c r="H46" s="6" t="s">
        <v>157</v>
      </c>
      <c r="I46" s="6" t="s">
        <v>149</v>
      </c>
      <c r="J46" s="33" t="s">
        <v>156</v>
      </c>
      <c r="K46" s="9"/>
      <c r="L46" s="16"/>
      <c r="M46" s="16"/>
      <c r="N46" s="16"/>
      <c r="O46" s="16"/>
      <c r="P46" s="16"/>
    </row>
    <row r="47" spans="1:16" ht="36" hidden="1" customHeight="1" x14ac:dyDescent="0.3">
      <c r="A47" s="2">
        <v>45688</v>
      </c>
      <c r="B47" s="3" t="s">
        <v>100</v>
      </c>
      <c r="C47" s="8" t="s">
        <v>336</v>
      </c>
      <c r="D47" s="3" t="s">
        <v>95</v>
      </c>
      <c r="E47" s="3" t="s">
        <v>94</v>
      </c>
      <c r="F47" s="6" t="s">
        <v>32</v>
      </c>
      <c r="G47" s="6"/>
      <c r="H47" s="3" t="s">
        <v>96</v>
      </c>
      <c r="I47" s="3" t="s">
        <v>97</v>
      </c>
      <c r="J47" s="3" t="s">
        <v>98</v>
      </c>
      <c r="K47" s="3" t="s">
        <v>68</v>
      </c>
      <c r="L47" s="16"/>
      <c r="M47" s="16"/>
      <c r="N47" s="16"/>
      <c r="O47" s="16"/>
      <c r="P47" s="16"/>
    </row>
    <row r="48" spans="1:16" ht="43.05" hidden="1" customHeight="1" x14ac:dyDescent="0.35">
      <c r="A48" s="2">
        <v>45688</v>
      </c>
      <c r="B48" s="3" t="s">
        <v>93</v>
      </c>
      <c r="C48" s="8" t="s">
        <v>336</v>
      </c>
      <c r="D48" s="3" t="s">
        <v>95</v>
      </c>
      <c r="E48" s="3" t="s">
        <v>99</v>
      </c>
      <c r="F48" s="6" t="s">
        <v>32</v>
      </c>
      <c r="G48" s="6"/>
      <c r="H48" s="3" t="s">
        <v>105</v>
      </c>
      <c r="I48" s="35" t="s">
        <v>101</v>
      </c>
      <c r="J48" s="3" t="s">
        <v>98</v>
      </c>
      <c r="K48" s="3" t="s">
        <v>68</v>
      </c>
      <c r="L48" s="16"/>
      <c r="M48" s="16"/>
      <c r="N48" s="16"/>
      <c r="O48" s="16"/>
      <c r="P48" s="16"/>
    </row>
    <row r="49" spans="1:16" ht="13.2" customHeight="1" x14ac:dyDescent="0.35">
      <c r="A49" s="7">
        <v>45693</v>
      </c>
      <c r="B49" s="8" t="s">
        <v>195</v>
      </c>
      <c r="C49" s="8">
        <v>9849466680</v>
      </c>
      <c r="D49" s="8" t="s">
        <v>67</v>
      </c>
      <c r="E49" s="8" t="s">
        <v>175</v>
      </c>
      <c r="F49" s="8" t="s">
        <v>32</v>
      </c>
      <c r="G49" s="8"/>
      <c r="H49" s="3" t="s">
        <v>428</v>
      </c>
      <c r="I49" s="35" t="s">
        <v>416</v>
      </c>
      <c r="J49" s="9"/>
      <c r="K49" s="3" t="s">
        <v>72</v>
      </c>
      <c r="L49" s="16"/>
      <c r="M49" s="16"/>
      <c r="N49" s="16"/>
      <c r="O49" s="16"/>
      <c r="P49" s="16"/>
    </row>
    <row r="50" spans="1:16" ht="38.549999999999997" customHeight="1" x14ac:dyDescent="0.35">
      <c r="A50" s="7">
        <v>45705</v>
      </c>
      <c r="B50" s="8" t="s">
        <v>195</v>
      </c>
      <c r="C50" s="8">
        <v>9849466680</v>
      </c>
      <c r="D50" s="8" t="s">
        <v>67</v>
      </c>
      <c r="E50" s="8" t="s">
        <v>176</v>
      </c>
      <c r="F50" s="8" t="s">
        <v>32</v>
      </c>
      <c r="G50" s="8"/>
      <c r="H50" s="3" t="s">
        <v>428</v>
      </c>
      <c r="I50" s="9"/>
      <c r="J50" s="9"/>
      <c r="K50" s="8" t="s">
        <v>68</v>
      </c>
      <c r="L50" s="12" t="s">
        <v>345</v>
      </c>
      <c r="M50" s="16"/>
      <c r="N50" s="16"/>
      <c r="O50" s="16"/>
      <c r="P50" s="16"/>
    </row>
    <row r="51" spans="1:16" ht="35.549999999999997" customHeight="1" x14ac:dyDescent="0.35">
      <c r="A51" s="7">
        <v>45705</v>
      </c>
      <c r="B51" s="8" t="s">
        <v>195</v>
      </c>
      <c r="C51" s="8">
        <v>9849466680</v>
      </c>
      <c r="D51" s="8" t="s">
        <v>67</v>
      </c>
      <c r="E51" s="8" t="s">
        <v>177</v>
      </c>
      <c r="F51" s="8" t="s">
        <v>32</v>
      </c>
      <c r="G51" s="8"/>
      <c r="H51" s="3" t="s">
        <v>428</v>
      </c>
      <c r="I51" s="35" t="s">
        <v>416</v>
      </c>
      <c r="J51" s="26" t="s">
        <v>343</v>
      </c>
      <c r="K51" s="8" t="s">
        <v>344</v>
      </c>
      <c r="L51" s="12" t="s">
        <v>345</v>
      </c>
      <c r="M51" s="12" t="s">
        <v>345</v>
      </c>
      <c r="N51" s="12"/>
      <c r="O51" s="16"/>
      <c r="P51" s="16"/>
    </row>
    <row r="52" spans="1:16" ht="18.45" customHeight="1" x14ac:dyDescent="0.35">
      <c r="A52" s="2">
        <v>45707</v>
      </c>
      <c r="B52" s="3" t="s">
        <v>91</v>
      </c>
      <c r="C52" s="8" t="s">
        <v>336</v>
      </c>
      <c r="D52" s="35" t="s">
        <v>92</v>
      </c>
      <c r="E52" s="3" t="s">
        <v>90</v>
      </c>
      <c r="F52" s="6" t="s">
        <v>32</v>
      </c>
      <c r="G52" s="6"/>
      <c r="H52" s="3" t="s">
        <v>428</v>
      </c>
      <c r="I52" s="3" t="s">
        <v>427</v>
      </c>
      <c r="J52" s="35"/>
      <c r="K52" s="35" t="s">
        <v>2</v>
      </c>
      <c r="L52" s="16"/>
      <c r="M52" s="16"/>
      <c r="N52" s="16"/>
      <c r="O52" s="16"/>
      <c r="P52" s="16"/>
    </row>
    <row r="53" spans="1:16" ht="34.950000000000003" customHeight="1" x14ac:dyDescent="0.35">
      <c r="A53" s="7">
        <v>45708</v>
      </c>
      <c r="B53" s="8" t="s">
        <v>195</v>
      </c>
      <c r="C53" s="8">
        <v>9849466680</v>
      </c>
      <c r="D53" s="8" t="s">
        <v>67</v>
      </c>
      <c r="E53" s="8" t="s">
        <v>178</v>
      </c>
      <c r="F53" s="8" t="s">
        <v>32</v>
      </c>
      <c r="G53" s="8"/>
      <c r="H53" s="9"/>
      <c r="I53" s="9"/>
      <c r="J53" s="9"/>
      <c r="K53" s="3" t="s">
        <v>72</v>
      </c>
      <c r="L53" s="16"/>
      <c r="M53" s="16"/>
      <c r="N53" s="16"/>
      <c r="O53" s="16"/>
      <c r="P53" s="16"/>
    </row>
    <row r="54" spans="1:16" ht="40.5" hidden="1" customHeight="1" x14ac:dyDescent="0.35">
      <c r="A54" s="7">
        <v>45726</v>
      </c>
      <c r="B54" s="31" t="s">
        <v>7</v>
      </c>
      <c r="C54" s="8" t="s">
        <v>336</v>
      </c>
      <c r="D54" s="8" t="s">
        <v>67</v>
      </c>
      <c r="E54" s="8" t="s">
        <v>179</v>
      </c>
      <c r="F54" s="8" t="s">
        <v>32</v>
      </c>
      <c r="G54" s="8"/>
      <c r="H54" s="3" t="s">
        <v>163</v>
      </c>
      <c r="I54" s="9"/>
      <c r="J54" s="8" t="s">
        <v>154</v>
      </c>
      <c r="K54" s="3" t="s">
        <v>72</v>
      </c>
      <c r="L54" s="16"/>
      <c r="M54" s="16"/>
      <c r="N54" s="16"/>
      <c r="O54" s="16"/>
      <c r="P54" s="16"/>
    </row>
    <row r="55" spans="1:16" ht="39" hidden="1" customHeight="1" x14ac:dyDescent="0.35">
      <c r="A55" s="7">
        <v>45726</v>
      </c>
      <c r="B55" s="31" t="s">
        <v>7</v>
      </c>
      <c r="C55" s="8" t="s">
        <v>336</v>
      </c>
      <c r="D55" s="8" t="s">
        <v>67</v>
      </c>
      <c r="E55" s="8" t="s">
        <v>180</v>
      </c>
      <c r="F55" s="8" t="s">
        <v>32</v>
      </c>
      <c r="G55" s="8"/>
      <c r="H55" s="9"/>
      <c r="I55" s="9"/>
      <c r="J55" s="9"/>
      <c r="K55" s="3" t="s">
        <v>72</v>
      </c>
      <c r="L55" s="16"/>
      <c r="M55" s="16"/>
      <c r="N55" s="16"/>
      <c r="O55" s="16"/>
      <c r="P55" s="16"/>
    </row>
    <row r="56" spans="1:16" ht="41.55" customHeight="1" x14ac:dyDescent="0.3">
      <c r="A56" s="2">
        <v>45750</v>
      </c>
      <c r="B56" s="3" t="s">
        <v>328</v>
      </c>
      <c r="C56" s="12">
        <v>1441201180</v>
      </c>
      <c r="D56" s="3" t="s">
        <v>66</v>
      </c>
      <c r="E56" s="3" t="s">
        <v>203</v>
      </c>
      <c r="F56" s="3" t="s">
        <v>69</v>
      </c>
      <c r="G56" s="3"/>
      <c r="H56" s="3" t="s">
        <v>431</v>
      </c>
      <c r="I56" s="3" t="s">
        <v>427</v>
      </c>
      <c r="J56" s="3" t="s">
        <v>214</v>
      </c>
      <c r="K56" s="3" t="s">
        <v>68</v>
      </c>
      <c r="L56" s="16"/>
      <c r="M56" s="16"/>
      <c r="N56" s="16"/>
      <c r="O56" s="16"/>
      <c r="P56" s="16"/>
    </row>
    <row r="57" spans="1:16" ht="16.8" customHeight="1" x14ac:dyDescent="0.3">
      <c r="A57" s="5">
        <v>45752</v>
      </c>
      <c r="B57" s="5" t="s">
        <v>0</v>
      </c>
      <c r="C57" s="8" t="s">
        <v>336</v>
      </c>
      <c r="D57" s="5" t="s">
        <v>88</v>
      </c>
      <c r="E57" s="5" t="s">
        <v>201</v>
      </c>
      <c r="F57" s="6" t="s">
        <v>200</v>
      </c>
      <c r="G57" s="6"/>
      <c r="H57" s="3" t="s">
        <v>431</v>
      </c>
      <c r="I57" s="3" t="s">
        <v>427</v>
      </c>
      <c r="J57" s="6" t="s">
        <v>202</v>
      </c>
      <c r="K57" s="6" t="s">
        <v>2</v>
      </c>
      <c r="L57" s="16"/>
      <c r="M57" s="16"/>
      <c r="N57" s="16"/>
      <c r="O57" s="16"/>
      <c r="P57" s="16"/>
    </row>
    <row r="58" spans="1:16" ht="86.4" customHeight="1" x14ac:dyDescent="0.3">
      <c r="A58" s="5">
        <v>45754</v>
      </c>
      <c r="B58" s="5" t="s">
        <v>3</v>
      </c>
      <c r="C58" s="8">
        <v>52139555</v>
      </c>
      <c r="D58" s="3" t="s">
        <v>76</v>
      </c>
      <c r="E58" s="6" t="s">
        <v>4</v>
      </c>
      <c r="F58" s="6" t="s">
        <v>33</v>
      </c>
      <c r="G58" s="6"/>
      <c r="H58" s="6" t="s">
        <v>429</v>
      </c>
      <c r="I58" s="5" t="s">
        <v>416</v>
      </c>
      <c r="J58" s="6" t="s">
        <v>204</v>
      </c>
      <c r="K58" s="6" t="s">
        <v>2</v>
      </c>
      <c r="L58" s="6" t="s">
        <v>292</v>
      </c>
      <c r="M58" s="6" t="s">
        <v>296</v>
      </c>
      <c r="N58" s="6">
        <v>674</v>
      </c>
      <c r="O58" s="6" t="s">
        <v>318</v>
      </c>
      <c r="P58" s="15" t="s">
        <v>302</v>
      </c>
    </row>
    <row r="59" spans="1:16" ht="45" customHeight="1" x14ac:dyDescent="0.3">
      <c r="A59" s="5">
        <v>45755</v>
      </c>
      <c r="B59" s="5" t="s">
        <v>7</v>
      </c>
      <c r="C59" s="8">
        <v>9849466680</v>
      </c>
      <c r="D59" s="5" t="s">
        <v>89</v>
      </c>
      <c r="E59" s="5" t="s">
        <v>326</v>
      </c>
      <c r="F59" s="6" t="s">
        <v>33</v>
      </c>
      <c r="G59" s="6"/>
      <c r="H59" s="6"/>
      <c r="I59" s="5"/>
      <c r="J59" s="6" t="s">
        <v>164</v>
      </c>
      <c r="K59" s="3" t="s">
        <v>72</v>
      </c>
      <c r="L59" s="15" t="s">
        <v>295</v>
      </c>
      <c r="M59" s="15" t="s">
        <v>305</v>
      </c>
      <c r="N59" s="15">
        <v>640</v>
      </c>
      <c r="O59" s="42" t="s">
        <v>327</v>
      </c>
      <c r="P59" s="12" t="s">
        <v>70</v>
      </c>
    </row>
    <row r="60" spans="1:16" ht="71.400000000000006" customHeight="1" x14ac:dyDescent="0.3">
      <c r="A60" s="5">
        <v>45755</v>
      </c>
      <c r="B60" s="5" t="s">
        <v>5</v>
      </c>
      <c r="C60" s="8">
        <v>1441201180</v>
      </c>
      <c r="D60" s="5" t="s">
        <v>58</v>
      </c>
      <c r="E60" s="6" t="s">
        <v>6</v>
      </c>
      <c r="F60" s="6" t="s">
        <v>33</v>
      </c>
      <c r="G60" s="6"/>
      <c r="H60" s="6"/>
      <c r="I60" s="6" t="s">
        <v>433</v>
      </c>
      <c r="J60" s="6" t="s">
        <v>31</v>
      </c>
      <c r="K60" s="6" t="s">
        <v>2</v>
      </c>
      <c r="L60" s="6" t="s">
        <v>294</v>
      </c>
      <c r="M60" s="15" t="s">
        <v>297</v>
      </c>
      <c r="N60" s="15"/>
      <c r="O60" s="24" t="s">
        <v>317</v>
      </c>
      <c r="P60" s="15" t="s">
        <v>302</v>
      </c>
    </row>
    <row r="61" spans="1:16" ht="25.5" customHeight="1" x14ac:dyDescent="0.3">
      <c r="A61" s="5">
        <v>45757</v>
      </c>
      <c r="B61" s="5" t="s">
        <v>9</v>
      </c>
      <c r="C61" s="8" t="s">
        <v>336</v>
      </c>
      <c r="D61" s="5" t="s">
        <v>1</v>
      </c>
      <c r="E61" s="5"/>
      <c r="F61" s="6" t="s">
        <v>30</v>
      </c>
      <c r="G61" s="6"/>
      <c r="H61" s="6" t="s">
        <v>428</v>
      </c>
      <c r="I61" s="5"/>
      <c r="J61" s="5"/>
      <c r="K61" s="5"/>
      <c r="L61" s="16"/>
      <c r="M61" s="16"/>
      <c r="N61" s="16"/>
      <c r="O61" s="16"/>
      <c r="P61" s="16"/>
    </row>
    <row r="62" spans="1:16" ht="22.5" customHeight="1" x14ac:dyDescent="0.3">
      <c r="A62" s="2">
        <v>45768</v>
      </c>
      <c r="B62" s="3" t="s">
        <v>102</v>
      </c>
      <c r="C62" s="8" t="s">
        <v>336</v>
      </c>
      <c r="D62" s="3" t="s">
        <v>95</v>
      </c>
      <c r="E62" s="3" t="s">
        <v>70</v>
      </c>
      <c r="F62" s="3" t="s">
        <v>103</v>
      </c>
      <c r="G62" s="3"/>
      <c r="H62" s="3" t="s">
        <v>431</v>
      </c>
      <c r="I62" s="3" t="s">
        <v>416</v>
      </c>
      <c r="J62" s="3" t="s">
        <v>104</v>
      </c>
      <c r="K62" s="3" t="s">
        <v>73</v>
      </c>
      <c r="L62" s="16"/>
      <c r="M62" s="16"/>
      <c r="N62" s="16"/>
      <c r="O62" s="16"/>
      <c r="P62" s="16"/>
    </row>
    <row r="63" spans="1:16" ht="42" customHeight="1" x14ac:dyDescent="0.35">
      <c r="A63" s="7">
        <v>45770</v>
      </c>
      <c r="B63" s="8" t="s">
        <v>22</v>
      </c>
      <c r="C63" s="8">
        <v>1441201180</v>
      </c>
      <c r="D63" s="8" t="s">
        <v>197</v>
      </c>
      <c r="E63" s="8" t="s">
        <v>196</v>
      </c>
      <c r="F63" s="8" t="s">
        <v>32</v>
      </c>
      <c r="G63" s="8"/>
      <c r="H63" s="3" t="s">
        <v>431</v>
      </c>
      <c r="I63" s="9"/>
      <c r="J63" s="9"/>
      <c r="K63" s="3" t="s">
        <v>72</v>
      </c>
      <c r="L63" s="15" t="s">
        <v>292</v>
      </c>
      <c r="M63" s="15" t="s">
        <v>296</v>
      </c>
      <c r="N63" s="15"/>
      <c r="O63" s="12"/>
      <c r="P63" s="12" t="s">
        <v>70</v>
      </c>
    </row>
    <row r="64" spans="1:16" ht="56.4" customHeight="1" x14ac:dyDescent="0.3">
      <c r="A64" s="5">
        <v>45789</v>
      </c>
      <c r="B64" s="3" t="s">
        <v>205</v>
      </c>
      <c r="C64" s="8">
        <v>9849466680</v>
      </c>
      <c r="D64" s="3" t="s">
        <v>67</v>
      </c>
      <c r="E64" s="3" t="s">
        <v>206</v>
      </c>
      <c r="F64" s="3" t="s">
        <v>69</v>
      </c>
      <c r="G64" s="3"/>
      <c r="H64" s="3" t="s">
        <v>429</v>
      </c>
      <c r="I64" s="3"/>
      <c r="J64" s="3" t="s">
        <v>70</v>
      </c>
      <c r="K64" s="3" t="s">
        <v>72</v>
      </c>
      <c r="L64" s="36"/>
      <c r="M64" s="16"/>
      <c r="N64" s="16"/>
      <c r="O64" s="16"/>
      <c r="P64" s="16"/>
    </row>
    <row r="65" spans="1:16" ht="12" customHeight="1" x14ac:dyDescent="0.3">
      <c r="A65" s="5">
        <v>45817</v>
      </c>
      <c r="B65" s="5" t="s">
        <v>10</v>
      </c>
      <c r="C65" s="8" t="s">
        <v>336</v>
      </c>
      <c r="D65" s="5" t="s">
        <v>66</v>
      </c>
      <c r="E65" s="5"/>
      <c r="F65" s="6" t="s">
        <v>11</v>
      </c>
      <c r="G65" s="6"/>
      <c r="H65" s="6" t="s">
        <v>428</v>
      </c>
      <c r="I65" s="5"/>
      <c r="J65" s="5"/>
      <c r="K65" s="5"/>
      <c r="L65" s="36"/>
      <c r="M65" s="16"/>
      <c r="N65" s="16"/>
      <c r="O65" s="16"/>
      <c r="P65" s="16"/>
    </row>
    <row r="66" spans="1:16" ht="36.450000000000003" customHeight="1" x14ac:dyDescent="0.35">
      <c r="A66" s="5">
        <v>45828</v>
      </c>
      <c r="B66" s="5" t="s">
        <v>13</v>
      </c>
      <c r="C66" s="8" t="s">
        <v>56</v>
      </c>
      <c r="D66" s="5" t="s">
        <v>87</v>
      </c>
      <c r="E66" s="5" t="s">
        <v>86</v>
      </c>
      <c r="F66" s="6" t="s">
        <v>33</v>
      </c>
      <c r="G66" s="6"/>
      <c r="H66" s="6" t="s">
        <v>429</v>
      </c>
      <c r="I66" s="6" t="s">
        <v>433</v>
      </c>
      <c r="J66" s="6" t="s">
        <v>14</v>
      </c>
      <c r="K66" s="6" t="s">
        <v>2</v>
      </c>
      <c r="L66" s="10" t="s">
        <v>292</v>
      </c>
      <c r="M66" s="15" t="s">
        <v>298</v>
      </c>
      <c r="N66" s="15"/>
      <c r="O66" s="15" t="s">
        <v>314</v>
      </c>
      <c r="P66" s="15" t="s">
        <v>302</v>
      </c>
    </row>
    <row r="67" spans="1:16" ht="36" customHeight="1" x14ac:dyDescent="0.3">
      <c r="A67" s="2">
        <v>45833</v>
      </c>
      <c r="B67" s="3" t="s">
        <v>328</v>
      </c>
      <c r="C67" s="12">
        <v>1441201180</v>
      </c>
      <c r="D67" s="3" t="s">
        <v>66</v>
      </c>
      <c r="E67" s="3" t="s">
        <v>62</v>
      </c>
      <c r="F67" s="3" t="s">
        <v>377</v>
      </c>
      <c r="G67" s="3"/>
      <c r="H67" s="3" t="s">
        <v>432</v>
      </c>
      <c r="I67" s="3"/>
      <c r="J67" s="3" t="s">
        <v>215</v>
      </c>
      <c r="K67" s="3" t="s">
        <v>73</v>
      </c>
      <c r="L67" s="36"/>
      <c r="M67" s="16"/>
      <c r="N67" s="16"/>
      <c r="O67" s="16"/>
      <c r="P67" s="16"/>
    </row>
    <row r="68" spans="1:16" ht="76.8" customHeight="1" x14ac:dyDescent="0.3">
      <c r="A68" s="2">
        <v>45834</v>
      </c>
      <c r="B68" s="3" t="s">
        <v>329</v>
      </c>
      <c r="C68" s="8">
        <v>46866541</v>
      </c>
      <c r="D68" s="3" t="s">
        <v>66</v>
      </c>
      <c r="E68" s="3" t="s">
        <v>63</v>
      </c>
      <c r="F68" s="3" t="s">
        <v>377</v>
      </c>
      <c r="G68" s="3"/>
      <c r="H68" s="3" t="s">
        <v>428</v>
      </c>
      <c r="I68" s="3" t="s">
        <v>434</v>
      </c>
      <c r="J68" s="3" t="s">
        <v>220</v>
      </c>
      <c r="K68" s="3" t="s">
        <v>73</v>
      </c>
      <c r="L68" s="36"/>
      <c r="M68" s="16"/>
      <c r="N68" s="16"/>
      <c r="O68" s="16"/>
      <c r="P68" s="16"/>
    </row>
    <row r="69" spans="1:16" ht="60.45" customHeight="1" x14ac:dyDescent="0.35">
      <c r="A69" s="7">
        <v>45838</v>
      </c>
      <c r="B69" s="8" t="s">
        <v>218</v>
      </c>
      <c r="C69" s="8" t="s">
        <v>336</v>
      </c>
      <c r="D69" s="9"/>
      <c r="E69" s="8" t="s">
        <v>207</v>
      </c>
      <c r="F69" s="8" t="s">
        <v>112</v>
      </c>
      <c r="G69" s="8"/>
      <c r="H69" s="3" t="s">
        <v>428</v>
      </c>
      <c r="I69" s="9"/>
      <c r="J69" s="9"/>
      <c r="K69" s="9"/>
      <c r="L69" s="36"/>
      <c r="M69" s="16"/>
      <c r="N69" s="16"/>
      <c r="O69" s="16"/>
      <c r="P69" s="16"/>
    </row>
    <row r="70" spans="1:16" ht="47.55" customHeight="1" x14ac:dyDescent="0.3">
      <c r="A70" s="5">
        <v>45843</v>
      </c>
      <c r="B70" s="6" t="s">
        <v>15</v>
      </c>
      <c r="C70" s="8" t="s">
        <v>336</v>
      </c>
      <c r="D70" s="6" t="s">
        <v>58</v>
      </c>
      <c r="E70" s="6" t="s">
        <v>16</v>
      </c>
      <c r="F70" s="6" t="s">
        <v>17</v>
      </c>
      <c r="G70" s="6"/>
      <c r="H70" s="3" t="s">
        <v>428</v>
      </c>
      <c r="I70" s="6" t="s">
        <v>416</v>
      </c>
      <c r="J70" s="6" t="s">
        <v>18</v>
      </c>
      <c r="K70" s="6" t="s">
        <v>2</v>
      </c>
      <c r="L70" s="36"/>
      <c r="M70" s="16"/>
      <c r="N70" s="16"/>
      <c r="O70" s="16"/>
      <c r="P70" s="16"/>
    </row>
    <row r="71" spans="1:16" ht="43.05" customHeight="1" x14ac:dyDescent="0.3">
      <c r="A71" s="7">
        <v>45852</v>
      </c>
      <c r="B71" s="8" t="s">
        <v>408</v>
      </c>
      <c r="C71" s="8">
        <v>1441612380</v>
      </c>
      <c r="D71" s="8" t="s">
        <v>66</v>
      </c>
      <c r="E71" s="8" t="s">
        <v>221</v>
      </c>
      <c r="F71" s="8" t="s">
        <v>223</v>
      </c>
      <c r="G71" s="8"/>
      <c r="H71" s="3" t="s">
        <v>429</v>
      </c>
      <c r="I71" s="8"/>
      <c r="J71" s="8" t="s">
        <v>222</v>
      </c>
      <c r="K71" s="3" t="s">
        <v>72</v>
      </c>
      <c r="L71" s="16"/>
      <c r="M71" s="12" t="s">
        <v>296</v>
      </c>
      <c r="N71" s="12"/>
      <c r="O71" s="16"/>
      <c r="P71" s="16"/>
    </row>
    <row r="72" spans="1:16" ht="29.55" customHeight="1" x14ac:dyDescent="0.35">
      <c r="A72" s="2">
        <v>45859</v>
      </c>
      <c r="B72" s="3" t="s">
        <v>3</v>
      </c>
      <c r="C72" s="8">
        <v>52139555</v>
      </c>
      <c r="D72" s="3" t="s">
        <v>76</v>
      </c>
      <c r="E72" s="3" t="s">
        <v>51</v>
      </c>
      <c r="F72" s="3" t="s">
        <v>75</v>
      </c>
      <c r="G72" s="3"/>
      <c r="H72" s="3" t="s">
        <v>428</v>
      </c>
      <c r="I72" s="3" t="s">
        <v>433</v>
      </c>
      <c r="J72" s="3" t="s">
        <v>77</v>
      </c>
      <c r="K72" s="3" t="s">
        <v>2</v>
      </c>
      <c r="L72" s="10" t="s">
        <v>292</v>
      </c>
      <c r="M72" s="6" t="s">
        <v>296</v>
      </c>
      <c r="N72" s="6"/>
      <c r="O72" s="6" t="s">
        <v>324</v>
      </c>
      <c r="P72" s="12" t="s">
        <v>339</v>
      </c>
    </row>
    <row r="73" spans="1:16" ht="43.05" customHeight="1" x14ac:dyDescent="0.3">
      <c r="A73" s="5">
        <v>45901</v>
      </c>
      <c r="B73" s="5" t="s">
        <v>19</v>
      </c>
      <c r="C73" s="8" t="s">
        <v>336</v>
      </c>
      <c r="D73" s="5" t="s">
        <v>79</v>
      </c>
      <c r="E73" s="5" t="s">
        <v>194</v>
      </c>
      <c r="F73" s="6" t="s">
        <v>112</v>
      </c>
      <c r="G73" s="6"/>
      <c r="H73" s="3" t="s">
        <v>428</v>
      </c>
      <c r="I73" s="5"/>
      <c r="J73" s="5" t="s">
        <v>193</v>
      </c>
      <c r="K73" s="5" t="s">
        <v>2</v>
      </c>
      <c r="L73" s="16"/>
      <c r="M73" s="16"/>
      <c r="N73" s="16"/>
      <c r="O73" s="16"/>
      <c r="P73" s="16"/>
    </row>
    <row r="74" spans="1:16" ht="45.45" customHeight="1" x14ac:dyDescent="0.3">
      <c r="A74" s="2">
        <v>45910</v>
      </c>
      <c r="B74" s="3" t="s">
        <v>330</v>
      </c>
      <c r="C74" s="8">
        <v>52235011</v>
      </c>
      <c r="D74" s="3" t="s">
        <v>66</v>
      </c>
      <c r="E74" s="3" t="s">
        <v>64</v>
      </c>
      <c r="F74" s="3" t="s">
        <v>69</v>
      </c>
      <c r="G74" s="3"/>
      <c r="H74" s="3" t="s">
        <v>429</v>
      </c>
      <c r="I74" s="3" t="s">
        <v>416</v>
      </c>
      <c r="J74" s="3" t="s">
        <v>219</v>
      </c>
      <c r="K74" s="3" t="s">
        <v>73</v>
      </c>
      <c r="L74" s="16"/>
      <c r="M74" s="16"/>
      <c r="N74" s="16"/>
      <c r="O74" s="16"/>
      <c r="P74" s="16"/>
    </row>
    <row r="75" spans="1:16" ht="48.45" customHeight="1" x14ac:dyDescent="0.3">
      <c r="A75" s="5">
        <v>45923</v>
      </c>
      <c r="B75" s="5" t="s">
        <v>20</v>
      </c>
      <c r="C75" s="8">
        <v>52109548</v>
      </c>
      <c r="D75" s="5"/>
      <c r="E75" s="5" t="s">
        <v>21</v>
      </c>
      <c r="F75" s="6" t="s">
        <v>12</v>
      </c>
      <c r="G75" s="6"/>
      <c r="H75" s="6" t="s">
        <v>428</v>
      </c>
      <c r="I75" s="5"/>
      <c r="J75" s="5"/>
      <c r="K75" s="5" t="s">
        <v>2</v>
      </c>
      <c r="L75" s="16"/>
      <c r="M75" s="16"/>
      <c r="N75" s="16"/>
      <c r="O75" s="16"/>
      <c r="P75" s="16"/>
    </row>
    <row r="76" spans="1:16" ht="73.05" customHeight="1" x14ac:dyDescent="0.35">
      <c r="A76" s="7">
        <v>45923</v>
      </c>
      <c r="B76" s="8" t="s">
        <v>199</v>
      </c>
      <c r="C76" s="8">
        <v>52109548</v>
      </c>
      <c r="D76" s="8" t="s">
        <v>190</v>
      </c>
      <c r="E76" s="8" t="s">
        <v>21</v>
      </c>
      <c r="F76" s="8" t="s">
        <v>112</v>
      </c>
      <c r="G76" s="8"/>
      <c r="H76" s="6" t="s">
        <v>428</v>
      </c>
      <c r="I76" s="3" t="s">
        <v>416</v>
      </c>
      <c r="J76" s="26" t="s">
        <v>198</v>
      </c>
      <c r="K76" s="8" t="s">
        <v>2</v>
      </c>
      <c r="L76" s="16"/>
      <c r="M76" s="16"/>
      <c r="N76" s="16"/>
      <c r="O76" s="16"/>
      <c r="P76" s="16"/>
    </row>
    <row r="77" spans="1:16" ht="52.2" customHeight="1" x14ac:dyDescent="0.3">
      <c r="A77" s="7">
        <v>45929</v>
      </c>
      <c r="B77" s="8" t="s">
        <v>212</v>
      </c>
      <c r="C77" s="8">
        <v>52109550</v>
      </c>
      <c r="D77" s="8" t="s">
        <v>190</v>
      </c>
      <c r="E77" s="8" t="s">
        <v>48</v>
      </c>
      <c r="F77" s="8" t="s">
        <v>32</v>
      </c>
      <c r="G77" s="8"/>
      <c r="H77" s="3" t="s">
        <v>429</v>
      </c>
      <c r="I77" s="3" t="s">
        <v>416</v>
      </c>
      <c r="J77" s="8"/>
      <c r="K77" s="8" t="s">
        <v>2</v>
      </c>
      <c r="L77" s="8" t="s">
        <v>295</v>
      </c>
      <c r="M77" s="6" t="s">
        <v>296</v>
      </c>
      <c r="N77" s="6"/>
      <c r="O77" s="43" t="s">
        <v>323</v>
      </c>
      <c r="P77" s="15" t="s">
        <v>302</v>
      </c>
    </row>
    <row r="78" spans="1:16" ht="25.95" customHeight="1" x14ac:dyDescent="0.35">
      <c r="A78" s="7">
        <v>45930</v>
      </c>
      <c r="B78" s="8" t="s">
        <v>216</v>
      </c>
      <c r="C78" s="8">
        <v>46866541</v>
      </c>
      <c r="D78" s="8" t="s">
        <v>66</v>
      </c>
      <c r="E78" s="8" t="s">
        <v>70</v>
      </c>
      <c r="F78" s="3" t="s">
        <v>103</v>
      </c>
      <c r="G78" s="3"/>
      <c r="H78" s="8" t="s">
        <v>425</v>
      </c>
      <c r="I78" s="8" t="s">
        <v>217</v>
      </c>
      <c r="J78" s="9"/>
      <c r="K78" s="9"/>
      <c r="L78" s="16"/>
      <c r="M78" s="16"/>
      <c r="N78" s="16"/>
      <c r="O78" s="16"/>
      <c r="P78" s="16"/>
    </row>
    <row r="79" spans="1:16" ht="16.5" customHeight="1" x14ac:dyDescent="0.3">
      <c r="A79" s="2">
        <v>45933</v>
      </c>
      <c r="B79" s="50" t="s">
        <v>390</v>
      </c>
      <c r="C79" s="50" t="s">
        <v>54</v>
      </c>
      <c r="D79" s="3" t="s">
        <v>81</v>
      </c>
      <c r="E79" s="3" t="s">
        <v>83</v>
      </c>
      <c r="F79" s="3" t="s">
        <v>32</v>
      </c>
      <c r="G79" s="3"/>
      <c r="H79" s="8" t="s">
        <v>425</v>
      </c>
      <c r="I79" s="3" t="s">
        <v>427</v>
      </c>
      <c r="J79" s="3" t="s">
        <v>70</v>
      </c>
      <c r="K79" s="3" t="s">
        <v>72</v>
      </c>
      <c r="L79" s="15" t="s">
        <v>337</v>
      </c>
      <c r="M79" s="12" t="s">
        <v>298</v>
      </c>
      <c r="N79" s="12"/>
      <c r="O79" s="12"/>
      <c r="P79" s="12" t="s">
        <v>70</v>
      </c>
    </row>
    <row r="80" spans="1:16" ht="16.8" x14ac:dyDescent="0.35">
      <c r="A80" s="7">
        <v>45936</v>
      </c>
      <c r="B80" s="8" t="s">
        <v>195</v>
      </c>
      <c r="C80" s="8">
        <v>9849466680</v>
      </c>
      <c r="D80" s="8" t="s">
        <v>88</v>
      </c>
      <c r="E80" s="8" t="s">
        <v>208</v>
      </c>
      <c r="F80" s="8" t="s">
        <v>112</v>
      </c>
      <c r="G80" s="8"/>
      <c r="H80" s="8" t="s">
        <v>428</v>
      </c>
      <c r="I80" s="9"/>
      <c r="J80" s="37"/>
      <c r="K80" s="9"/>
      <c r="L80" s="16"/>
      <c r="M80" s="16"/>
      <c r="N80" s="16"/>
      <c r="O80" s="16"/>
      <c r="P80" s="16"/>
    </row>
    <row r="81" spans="1:16" ht="42.6" customHeight="1" x14ac:dyDescent="0.3">
      <c r="A81" s="2">
        <v>45937</v>
      </c>
      <c r="B81" s="3" t="s">
        <v>84</v>
      </c>
      <c r="C81" s="8" t="s">
        <v>55</v>
      </c>
      <c r="D81" s="3" t="s">
        <v>85</v>
      </c>
      <c r="E81" s="3" t="s">
        <v>82</v>
      </c>
      <c r="F81" s="3" t="s">
        <v>32</v>
      </c>
      <c r="G81" s="3"/>
      <c r="H81" s="3" t="s">
        <v>429</v>
      </c>
      <c r="I81" s="3" t="s">
        <v>434</v>
      </c>
      <c r="J81" s="3" t="s">
        <v>70</v>
      </c>
      <c r="K81" s="3" t="s">
        <v>72</v>
      </c>
      <c r="L81" s="8" t="s">
        <v>292</v>
      </c>
      <c r="M81" s="15" t="s">
        <v>298</v>
      </c>
      <c r="N81" s="15"/>
      <c r="O81" s="12"/>
      <c r="P81" s="12" t="s">
        <v>70</v>
      </c>
    </row>
    <row r="82" spans="1:16" ht="46.05" customHeight="1" x14ac:dyDescent="0.3">
      <c r="A82" s="2">
        <v>45943</v>
      </c>
      <c r="B82" s="3" t="s">
        <v>331</v>
      </c>
      <c r="C82" s="8" t="s">
        <v>336</v>
      </c>
      <c r="D82" s="3" t="s">
        <v>66</v>
      </c>
      <c r="E82" s="3" t="s">
        <v>65</v>
      </c>
      <c r="F82" s="3" t="s">
        <v>69</v>
      </c>
      <c r="G82" s="3"/>
      <c r="H82" s="3" t="s">
        <v>428</v>
      </c>
      <c r="I82" s="3" t="s">
        <v>427</v>
      </c>
      <c r="J82" s="3" t="s">
        <v>214</v>
      </c>
      <c r="K82" s="3" t="s">
        <v>73</v>
      </c>
      <c r="L82" s="16"/>
      <c r="M82" s="16"/>
      <c r="N82" s="16"/>
      <c r="O82" s="16"/>
      <c r="P82" s="16"/>
    </row>
    <row r="83" spans="1:16" ht="43.2" customHeight="1" x14ac:dyDescent="0.3">
      <c r="A83" s="2">
        <v>45946</v>
      </c>
      <c r="B83" s="3" t="s">
        <v>195</v>
      </c>
      <c r="C83" s="8">
        <v>9849466680</v>
      </c>
      <c r="D83" s="3" t="s">
        <v>67</v>
      </c>
      <c r="E83" s="3" t="s">
        <v>71</v>
      </c>
      <c r="F83" s="3" t="s">
        <v>32</v>
      </c>
      <c r="G83" s="3"/>
      <c r="H83" s="3" t="s">
        <v>431</v>
      </c>
      <c r="I83" s="3" t="s">
        <v>434</v>
      </c>
      <c r="J83" s="3" t="s">
        <v>74</v>
      </c>
      <c r="K83" s="3" t="s">
        <v>72</v>
      </c>
      <c r="L83" s="8" t="s">
        <v>295</v>
      </c>
      <c r="M83" s="15" t="s">
        <v>300</v>
      </c>
      <c r="N83" s="15"/>
      <c r="O83" s="12"/>
      <c r="P83" s="12" t="s">
        <v>70</v>
      </c>
    </row>
    <row r="84" spans="1:16" ht="33.6" x14ac:dyDescent="0.35">
      <c r="A84" s="2">
        <v>45953</v>
      </c>
      <c r="B84" s="3" t="s">
        <v>211</v>
      </c>
      <c r="C84" s="8" t="s">
        <v>54</v>
      </c>
      <c r="D84" s="3" t="s">
        <v>79</v>
      </c>
      <c r="E84" s="3" t="s">
        <v>78</v>
      </c>
      <c r="F84" s="3" t="s">
        <v>32</v>
      </c>
      <c r="G84" s="3"/>
      <c r="H84" s="3" t="s">
        <v>431</v>
      </c>
      <c r="I84" s="3" t="s">
        <v>416</v>
      </c>
      <c r="J84" s="14" t="s">
        <v>80</v>
      </c>
      <c r="K84" s="45" t="s">
        <v>2</v>
      </c>
      <c r="L84" s="10" t="s">
        <v>292</v>
      </c>
      <c r="M84" s="15" t="s">
        <v>298</v>
      </c>
      <c r="N84" s="15"/>
      <c r="O84" s="15" t="s">
        <v>314</v>
      </c>
      <c r="P84" s="15" t="s">
        <v>302</v>
      </c>
    </row>
    <row r="85" spans="1:16" ht="47.4" customHeight="1" x14ac:dyDescent="0.3">
      <c r="A85" s="7">
        <v>45966</v>
      </c>
      <c r="B85" s="8" t="s">
        <v>210</v>
      </c>
      <c r="C85" s="8">
        <v>52109550</v>
      </c>
      <c r="D85" s="8" t="s">
        <v>190</v>
      </c>
      <c r="E85" s="8" t="s">
        <v>40</v>
      </c>
      <c r="F85" s="8" t="s">
        <v>32</v>
      </c>
      <c r="G85" s="8"/>
      <c r="H85" s="3" t="s">
        <v>429</v>
      </c>
      <c r="I85" s="3" t="s">
        <v>427</v>
      </c>
      <c r="J85" s="8" t="s">
        <v>322</v>
      </c>
      <c r="K85" s="8" t="s">
        <v>2</v>
      </c>
      <c r="L85" s="8" t="s">
        <v>295</v>
      </c>
      <c r="M85" s="15" t="s">
        <v>296</v>
      </c>
      <c r="N85" s="15"/>
      <c r="O85" s="42" t="s">
        <v>316</v>
      </c>
      <c r="P85" s="15" t="s">
        <v>302</v>
      </c>
    </row>
    <row r="86" spans="1:16" ht="21" customHeight="1" x14ac:dyDescent="0.35">
      <c r="A86" s="2">
        <v>45967</v>
      </c>
      <c r="B86" s="3" t="s">
        <v>59</v>
      </c>
      <c r="C86" s="8" t="s">
        <v>386</v>
      </c>
      <c r="D86" s="3" t="s">
        <v>60</v>
      </c>
      <c r="E86" s="3" t="s">
        <v>61</v>
      </c>
      <c r="F86" s="3" t="s">
        <v>32</v>
      </c>
      <c r="G86" s="3"/>
      <c r="H86" s="3" t="s">
        <v>430</v>
      </c>
      <c r="I86" s="3" t="s">
        <v>427</v>
      </c>
      <c r="J86" s="3" t="s">
        <v>340</v>
      </c>
      <c r="K86" s="44" t="s">
        <v>2</v>
      </c>
      <c r="L86" s="10" t="s">
        <v>292</v>
      </c>
      <c r="M86" s="15" t="s">
        <v>299</v>
      </c>
      <c r="N86" s="15"/>
      <c r="O86" s="15" t="s">
        <v>320</v>
      </c>
      <c r="P86" s="15" t="s">
        <v>306</v>
      </c>
    </row>
    <row r="87" spans="1:16" ht="50.4" x14ac:dyDescent="0.3">
      <c r="A87" s="7">
        <v>45981</v>
      </c>
      <c r="B87" s="8" t="s">
        <v>304</v>
      </c>
      <c r="C87" s="8">
        <v>52259651</v>
      </c>
      <c r="D87" s="3" t="s">
        <v>76</v>
      </c>
      <c r="E87" s="8" t="s">
        <v>209</v>
      </c>
      <c r="F87" s="8" t="s">
        <v>32</v>
      </c>
      <c r="G87" s="8"/>
      <c r="H87" s="3" t="s">
        <v>429</v>
      </c>
      <c r="I87" s="3" t="s">
        <v>427</v>
      </c>
      <c r="J87" s="8" t="s">
        <v>213</v>
      </c>
      <c r="K87" s="8" t="s">
        <v>363</v>
      </c>
      <c r="L87" s="8" t="s">
        <v>295</v>
      </c>
      <c r="M87" s="6" t="s">
        <v>296</v>
      </c>
      <c r="N87" s="6"/>
      <c r="O87" s="6" t="s">
        <v>321</v>
      </c>
      <c r="P87" s="15" t="s">
        <v>302</v>
      </c>
    </row>
    <row r="88" spans="1:16" ht="16.8" hidden="1" x14ac:dyDescent="0.35">
      <c r="A88" s="7">
        <v>45638</v>
      </c>
      <c r="B88" s="8">
        <v>1441612380</v>
      </c>
      <c r="C88" s="8" t="s">
        <v>336</v>
      </c>
      <c r="D88" s="8" t="s">
        <v>66</v>
      </c>
      <c r="E88" s="8" t="s">
        <v>168</v>
      </c>
      <c r="F88" s="8" t="s">
        <v>17</v>
      </c>
      <c r="G88" s="8"/>
      <c r="H88" s="9"/>
      <c r="I88" s="9"/>
      <c r="J88" s="9"/>
      <c r="K88" s="8"/>
      <c r="L88" s="16"/>
      <c r="M88" s="16"/>
      <c r="N88" s="16"/>
      <c r="O88" s="16"/>
      <c r="P88" s="16"/>
    </row>
    <row r="89" spans="1:16" ht="29.55" hidden="1" customHeight="1" x14ac:dyDescent="0.35">
      <c r="A89" s="7">
        <v>45385</v>
      </c>
      <c r="B89" s="8">
        <v>522137650</v>
      </c>
      <c r="C89" s="8" t="s">
        <v>336</v>
      </c>
      <c r="D89" s="9"/>
      <c r="E89" s="8" t="s">
        <v>265</v>
      </c>
      <c r="F89" s="9"/>
      <c r="G89" s="9"/>
      <c r="H89" s="16"/>
      <c r="I89" s="16"/>
      <c r="J89" s="16"/>
      <c r="K89" s="16"/>
      <c r="L89" s="16"/>
      <c r="M89" s="16"/>
      <c r="N89" s="16"/>
      <c r="O89" s="16"/>
      <c r="P89" s="16"/>
    </row>
    <row r="90" spans="1:16" ht="49.95" hidden="1" customHeight="1" x14ac:dyDescent="0.35">
      <c r="A90" s="7">
        <v>45385</v>
      </c>
      <c r="B90" s="9"/>
      <c r="C90" s="8" t="s">
        <v>336</v>
      </c>
      <c r="D90" s="9"/>
      <c r="E90" s="8" t="s">
        <v>142</v>
      </c>
      <c r="F90" s="8" t="s">
        <v>32</v>
      </c>
      <c r="G90" s="8"/>
      <c r="H90" s="3" t="s">
        <v>266</v>
      </c>
      <c r="I90" s="8" t="s">
        <v>268</v>
      </c>
      <c r="J90" s="3" t="s">
        <v>267</v>
      </c>
      <c r="K90" s="9"/>
      <c r="L90" s="16"/>
      <c r="M90" s="16"/>
      <c r="N90" s="16"/>
      <c r="O90" s="16"/>
      <c r="P90" s="16"/>
    </row>
    <row r="91" spans="1:16" ht="29.55" hidden="1" customHeight="1" x14ac:dyDescent="0.35">
      <c r="A91" s="7"/>
      <c r="B91" s="8" t="s">
        <v>269</v>
      </c>
      <c r="C91" s="8" t="s">
        <v>336</v>
      </c>
      <c r="D91" s="8"/>
      <c r="E91" s="8" t="s">
        <v>271</v>
      </c>
      <c r="F91" s="8" t="s">
        <v>272</v>
      </c>
      <c r="G91" s="8"/>
      <c r="H91" s="8" t="s">
        <v>270</v>
      </c>
      <c r="I91" s="9"/>
      <c r="J91" s="9"/>
      <c r="K91" s="9"/>
      <c r="L91" s="16"/>
      <c r="M91" s="16"/>
      <c r="N91" s="16"/>
      <c r="O91" s="16"/>
      <c r="P91" s="16"/>
    </row>
    <row r="92" spans="1:16" ht="37.049999999999997" hidden="1" customHeight="1" x14ac:dyDescent="0.35">
      <c r="A92" s="7"/>
      <c r="B92" s="8" t="s">
        <v>273</v>
      </c>
      <c r="C92" s="8" t="s">
        <v>336</v>
      </c>
      <c r="D92" s="9"/>
      <c r="E92" s="9"/>
      <c r="F92" s="3" t="s">
        <v>274</v>
      </c>
      <c r="G92" s="3"/>
      <c r="H92" s="8" t="s">
        <v>289</v>
      </c>
      <c r="I92" s="8" t="s">
        <v>288</v>
      </c>
      <c r="J92" s="3" t="s">
        <v>287</v>
      </c>
      <c r="K92" s="9"/>
      <c r="L92" s="16"/>
      <c r="M92" s="16"/>
      <c r="N92" s="16"/>
      <c r="O92" s="16"/>
      <c r="P92" s="16"/>
    </row>
    <row r="93" spans="1:16" ht="16.8" hidden="1" customHeight="1" x14ac:dyDescent="0.3">
      <c r="A93" s="28">
        <v>45727</v>
      </c>
      <c r="B93" s="31" t="s">
        <v>135</v>
      </c>
      <c r="C93" s="8" t="s">
        <v>336</v>
      </c>
      <c r="D93" s="28" t="s">
        <v>197</v>
      </c>
      <c r="E93" s="33" t="s">
        <v>145</v>
      </c>
      <c r="F93" s="6" t="s">
        <v>32</v>
      </c>
      <c r="G93" s="6"/>
      <c r="H93" s="6" t="s">
        <v>277</v>
      </c>
      <c r="I93" s="6" t="s">
        <v>146</v>
      </c>
      <c r="J93" s="6" t="s">
        <v>276</v>
      </c>
      <c r="K93" s="8" t="s">
        <v>2</v>
      </c>
      <c r="L93" s="16"/>
      <c r="M93" s="16"/>
      <c r="N93" s="16"/>
      <c r="O93" s="16"/>
      <c r="P93" s="12" t="s">
        <v>315</v>
      </c>
    </row>
    <row r="94" spans="1:16" ht="31.05" customHeight="1" x14ac:dyDescent="0.3">
      <c r="A94" s="2">
        <v>45995</v>
      </c>
      <c r="B94" s="8" t="s">
        <v>285</v>
      </c>
      <c r="C94" s="8" t="s">
        <v>385</v>
      </c>
      <c r="D94" s="8" t="s">
        <v>284</v>
      </c>
      <c r="E94" s="8" t="s">
        <v>283</v>
      </c>
      <c r="F94" s="8" t="s">
        <v>32</v>
      </c>
      <c r="G94" s="8"/>
      <c r="H94" s="3" t="s">
        <v>429</v>
      </c>
      <c r="I94" s="8" t="s">
        <v>427</v>
      </c>
      <c r="J94" s="3" t="s">
        <v>286</v>
      </c>
      <c r="K94" s="8" t="s">
        <v>73</v>
      </c>
      <c r="L94" s="8" t="s">
        <v>295</v>
      </c>
      <c r="M94" s="15" t="s">
        <v>298</v>
      </c>
      <c r="N94" s="15"/>
      <c r="O94" s="15" t="s">
        <v>313</v>
      </c>
      <c r="P94" s="15" t="s">
        <v>302</v>
      </c>
    </row>
    <row r="95" spans="1:16" ht="32.549999999999997" customHeight="1" x14ac:dyDescent="0.3">
      <c r="A95" s="2">
        <v>45996</v>
      </c>
      <c r="B95" s="8" t="s">
        <v>123</v>
      </c>
      <c r="C95" s="8" t="s">
        <v>384</v>
      </c>
      <c r="D95" s="8" t="s">
        <v>291</v>
      </c>
      <c r="E95" s="8" t="s">
        <v>290</v>
      </c>
      <c r="F95" s="8" t="s">
        <v>32</v>
      </c>
      <c r="G95" s="8"/>
      <c r="H95" s="3" t="s">
        <v>429</v>
      </c>
      <c r="I95" s="8" t="s">
        <v>217</v>
      </c>
      <c r="J95" s="8" t="s">
        <v>307</v>
      </c>
      <c r="K95" s="3" t="s">
        <v>72</v>
      </c>
      <c r="L95" s="8" t="s">
        <v>353</v>
      </c>
      <c r="M95" s="15" t="s">
        <v>298</v>
      </c>
      <c r="N95" s="15"/>
      <c r="O95" s="15" t="s">
        <v>314</v>
      </c>
      <c r="P95" s="12" t="s">
        <v>338</v>
      </c>
    </row>
    <row r="96" spans="1:16" ht="32.549999999999997" hidden="1" customHeight="1" x14ac:dyDescent="0.3">
      <c r="A96" s="38"/>
      <c r="B96" s="16"/>
      <c r="C96" s="8" t="s">
        <v>336</v>
      </c>
      <c r="D96" s="16"/>
      <c r="E96" s="15" t="s">
        <v>290</v>
      </c>
      <c r="F96" s="16"/>
      <c r="G96" s="16"/>
      <c r="H96" s="16"/>
      <c r="I96" s="16"/>
      <c r="J96" s="16"/>
      <c r="K96" s="16"/>
      <c r="L96" s="16"/>
      <c r="M96" s="16"/>
      <c r="N96" s="16"/>
      <c r="O96" s="16"/>
      <c r="P96" s="16"/>
    </row>
    <row r="97" spans="1:16" ht="38.4" customHeight="1" x14ac:dyDescent="0.3">
      <c r="A97" s="2">
        <v>46036</v>
      </c>
      <c r="B97" s="8" t="s">
        <v>304</v>
      </c>
      <c r="C97" s="8">
        <v>52259651</v>
      </c>
      <c r="D97" s="15" t="s">
        <v>76</v>
      </c>
      <c r="E97" s="8" t="s">
        <v>303</v>
      </c>
      <c r="F97" s="8" t="s">
        <v>32</v>
      </c>
      <c r="G97" s="8"/>
      <c r="H97" s="3" t="s">
        <v>429</v>
      </c>
      <c r="I97" s="8" t="s">
        <v>416</v>
      </c>
      <c r="J97" s="24" t="s">
        <v>410</v>
      </c>
      <c r="K97" s="8" t="s">
        <v>395</v>
      </c>
      <c r="L97" s="15" t="s">
        <v>292</v>
      </c>
      <c r="M97" s="12" t="s">
        <v>296</v>
      </c>
      <c r="N97" s="12"/>
      <c r="O97" s="41" t="s">
        <v>319</v>
      </c>
      <c r="P97" s="16"/>
    </row>
    <row r="98" spans="1:16" ht="16.8" x14ac:dyDescent="0.3">
      <c r="A98" s="46">
        <v>46034</v>
      </c>
      <c r="B98" s="16"/>
      <c r="C98" s="16"/>
      <c r="D98" s="12" t="s">
        <v>341</v>
      </c>
      <c r="E98" s="8" t="s">
        <v>70</v>
      </c>
      <c r="F98" s="3" t="s">
        <v>103</v>
      </c>
      <c r="G98" s="3"/>
      <c r="H98" s="8" t="s">
        <v>425</v>
      </c>
      <c r="I98" s="16"/>
      <c r="J98" s="16"/>
      <c r="K98" s="16"/>
      <c r="L98" s="16"/>
      <c r="M98" s="16"/>
      <c r="N98" s="16"/>
      <c r="O98" s="16"/>
      <c r="P98" s="16"/>
    </row>
    <row r="99" spans="1:16" ht="16.8" x14ac:dyDescent="0.3">
      <c r="A99" s="47">
        <v>45952</v>
      </c>
      <c r="B99" s="12" t="s">
        <v>195</v>
      </c>
      <c r="C99" s="12" t="s">
        <v>342</v>
      </c>
      <c r="D99" s="12" t="s">
        <v>67</v>
      </c>
      <c r="E99" s="12" t="s">
        <v>208</v>
      </c>
      <c r="F99" s="12" t="s">
        <v>17</v>
      </c>
      <c r="G99" s="12"/>
      <c r="H99" s="3" t="s">
        <v>429</v>
      </c>
      <c r="I99" s="16"/>
      <c r="J99" s="16"/>
      <c r="K99" s="16"/>
      <c r="L99" s="16"/>
      <c r="M99" s="16"/>
      <c r="N99" s="16"/>
      <c r="O99" s="16"/>
      <c r="P99" s="16"/>
    </row>
    <row r="100" spans="1:16" ht="57.6" x14ac:dyDescent="0.3">
      <c r="A100" s="47">
        <v>45762</v>
      </c>
      <c r="B100" s="12" t="s">
        <v>328</v>
      </c>
      <c r="C100" s="12">
        <v>1441201180</v>
      </c>
      <c r="D100" s="12" t="s">
        <v>66</v>
      </c>
      <c r="E100" s="12" t="s">
        <v>346</v>
      </c>
      <c r="F100" s="12" t="s">
        <v>69</v>
      </c>
      <c r="G100" s="12"/>
      <c r="H100" s="3" t="s">
        <v>429</v>
      </c>
      <c r="I100" s="12"/>
      <c r="J100" s="8" t="s">
        <v>348</v>
      </c>
      <c r="K100" s="12" t="s">
        <v>2</v>
      </c>
      <c r="L100" s="12" t="s">
        <v>292</v>
      </c>
      <c r="M100" s="12" t="s">
        <v>297</v>
      </c>
      <c r="N100" s="12"/>
      <c r="O100" s="42" t="s">
        <v>347</v>
      </c>
      <c r="P100" s="12"/>
    </row>
    <row r="101" spans="1:16" ht="16.8" x14ac:dyDescent="0.3">
      <c r="A101" s="47">
        <v>46055</v>
      </c>
      <c r="B101" s="11" t="s">
        <v>356</v>
      </c>
      <c r="C101" s="11">
        <v>52223165</v>
      </c>
      <c r="D101" s="12" t="s">
        <v>66</v>
      </c>
      <c r="E101" s="11" t="s">
        <v>70</v>
      </c>
      <c r="F101" s="3" t="s">
        <v>103</v>
      </c>
      <c r="G101" s="3"/>
      <c r="H101" s="3" t="s">
        <v>429</v>
      </c>
      <c r="I101" s="11"/>
      <c r="J101" s="11"/>
      <c r="K101" s="12" t="s">
        <v>357</v>
      </c>
      <c r="L101" s="11"/>
      <c r="M101" s="11"/>
      <c r="N101" s="11"/>
      <c r="O101" s="11"/>
      <c r="P101" s="11"/>
    </row>
    <row r="102" spans="1:16" ht="63" customHeight="1" x14ac:dyDescent="0.3">
      <c r="A102" s="66">
        <v>46055</v>
      </c>
      <c r="B102" s="65" t="s">
        <v>389</v>
      </c>
      <c r="C102" s="65">
        <v>463586790</v>
      </c>
      <c r="D102" s="3" t="s">
        <v>361</v>
      </c>
      <c r="E102" s="8" t="s">
        <v>360</v>
      </c>
      <c r="F102" s="8" t="s">
        <v>32</v>
      </c>
      <c r="G102" s="8"/>
      <c r="H102" s="8" t="s">
        <v>426</v>
      </c>
      <c r="I102" s="36"/>
      <c r="J102" s="8" t="s">
        <v>413</v>
      </c>
      <c r="K102" s="3" t="s">
        <v>72</v>
      </c>
      <c r="L102" s="53" t="s">
        <v>371</v>
      </c>
      <c r="M102" s="8" t="s">
        <v>300</v>
      </c>
      <c r="N102" s="8"/>
      <c r="O102" s="55" t="s">
        <v>47</v>
      </c>
      <c r="P102" s="36"/>
    </row>
    <row r="103" spans="1:16" ht="67.2" customHeight="1" x14ac:dyDescent="0.3">
      <c r="A103" s="66">
        <v>46055</v>
      </c>
      <c r="B103" s="65" t="s">
        <v>389</v>
      </c>
      <c r="C103" s="65">
        <v>463586790</v>
      </c>
      <c r="D103" s="3" t="s">
        <v>361</v>
      </c>
      <c r="E103" s="8" t="s">
        <v>362</v>
      </c>
      <c r="F103" s="8" t="s">
        <v>32</v>
      </c>
      <c r="G103" s="8"/>
      <c r="H103" s="8" t="s">
        <v>429</v>
      </c>
      <c r="I103" s="36"/>
      <c r="J103" s="3" t="s">
        <v>373</v>
      </c>
      <c r="K103" s="3" t="s">
        <v>72</v>
      </c>
      <c r="L103" s="53" t="s">
        <v>353</v>
      </c>
      <c r="M103" s="8" t="s">
        <v>300</v>
      </c>
      <c r="N103" s="8"/>
      <c r="O103" s="55" t="s">
        <v>47</v>
      </c>
      <c r="P103" s="36"/>
    </row>
    <row r="104" spans="1:16" ht="67.2" customHeight="1" x14ac:dyDescent="0.3">
      <c r="A104" s="7">
        <v>46058</v>
      </c>
      <c r="B104" s="8" t="s">
        <v>391</v>
      </c>
      <c r="C104" s="8">
        <v>1441686380</v>
      </c>
      <c r="D104" s="8" t="s">
        <v>66</v>
      </c>
      <c r="E104" s="8" t="s">
        <v>358</v>
      </c>
      <c r="F104" s="8" t="s">
        <v>32</v>
      </c>
      <c r="G104" s="8"/>
      <c r="H104" s="8" t="s">
        <v>429</v>
      </c>
      <c r="I104" s="54" t="s">
        <v>427</v>
      </c>
      <c r="J104" s="8" t="s">
        <v>388</v>
      </c>
      <c r="K104" s="53" t="s">
        <v>73</v>
      </c>
      <c r="L104" s="53" t="s">
        <v>295</v>
      </c>
      <c r="M104" s="8" t="s">
        <v>300</v>
      </c>
      <c r="N104" s="8"/>
      <c r="O104" s="3" t="s">
        <v>359</v>
      </c>
      <c r="P104" s="36"/>
    </row>
    <row r="105" spans="1:16" ht="32.4" customHeight="1" x14ac:dyDescent="0.3">
      <c r="A105" s="47">
        <v>46063</v>
      </c>
      <c r="B105" s="15" t="s">
        <v>100</v>
      </c>
      <c r="C105" s="8" t="s">
        <v>365</v>
      </c>
      <c r="D105" s="3" t="s">
        <v>366</v>
      </c>
      <c r="E105" s="8" t="s">
        <v>364</v>
      </c>
      <c r="F105" s="8" t="s">
        <v>32</v>
      </c>
      <c r="G105" s="8"/>
      <c r="H105" s="8" t="s">
        <v>428</v>
      </c>
      <c r="I105" s="12" t="s">
        <v>434</v>
      </c>
      <c r="J105" s="15" t="s">
        <v>367</v>
      </c>
      <c r="K105" s="3" t="s">
        <v>72</v>
      </c>
      <c r="L105" s="12" t="s">
        <v>292</v>
      </c>
      <c r="M105" s="15" t="s">
        <v>298</v>
      </c>
      <c r="N105" s="15"/>
      <c r="O105" s="42">
        <v>2</v>
      </c>
      <c r="P105" s="16"/>
    </row>
    <row r="106" spans="1:16" ht="16.8" x14ac:dyDescent="0.3">
      <c r="A106" s="59">
        <v>46065</v>
      </c>
      <c r="B106" s="51" t="s">
        <v>390</v>
      </c>
      <c r="C106" s="51" t="s">
        <v>54</v>
      </c>
      <c r="D106" s="51" t="s">
        <v>370</v>
      </c>
      <c r="E106" s="48" t="s">
        <v>368</v>
      </c>
      <c r="F106" s="8" t="s">
        <v>32</v>
      </c>
      <c r="G106" s="8"/>
      <c r="H106" s="8" t="s">
        <v>429</v>
      </c>
      <c r="I106" s="50" t="s">
        <v>427</v>
      </c>
      <c r="J106" s="50" t="s">
        <v>415</v>
      </c>
      <c r="K106" s="12" t="s">
        <v>73</v>
      </c>
      <c r="L106" s="50" t="s">
        <v>374</v>
      </c>
      <c r="M106" s="15" t="s">
        <v>371</v>
      </c>
      <c r="N106" s="15"/>
      <c r="O106" s="15" t="s">
        <v>314</v>
      </c>
      <c r="P106" s="49"/>
    </row>
    <row r="107" spans="1:16" ht="28.8" x14ac:dyDescent="0.3">
      <c r="A107" s="59">
        <v>46069</v>
      </c>
      <c r="B107" s="51" t="s">
        <v>390</v>
      </c>
      <c r="C107" s="51" t="s">
        <v>54</v>
      </c>
      <c r="D107" s="51" t="s">
        <v>366</v>
      </c>
      <c r="E107" s="52" t="s">
        <v>369</v>
      </c>
      <c r="F107" s="8" t="s">
        <v>32</v>
      </c>
      <c r="G107" s="8"/>
      <c r="H107" s="8" t="s">
        <v>429</v>
      </c>
      <c r="I107" s="50" t="s">
        <v>427</v>
      </c>
      <c r="J107" s="60" t="s">
        <v>414</v>
      </c>
      <c r="K107" s="50" t="s">
        <v>73</v>
      </c>
      <c r="L107" s="50" t="s">
        <v>374</v>
      </c>
      <c r="M107" s="51" t="s">
        <v>371</v>
      </c>
      <c r="N107" s="51"/>
      <c r="O107" s="15" t="s">
        <v>314</v>
      </c>
      <c r="P107" s="49"/>
    </row>
    <row r="108" spans="1:16" ht="16.8" x14ac:dyDescent="0.35">
      <c r="A108" s="7">
        <v>46073</v>
      </c>
      <c r="B108" s="8" t="s">
        <v>375</v>
      </c>
      <c r="C108" s="8">
        <v>52221187</v>
      </c>
      <c r="D108" s="8" t="s">
        <v>376</v>
      </c>
      <c r="E108" s="8" t="s">
        <v>383</v>
      </c>
      <c r="F108" s="8" t="s">
        <v>32</v>
      </c>
      <c r="G108" s="8"/>
      <c r="H108" s="8" t="s">
        <v>424</v>
      </c>
      <c r="I108" s="8" t="s">
        <v>427</v>
      </c>
      <c r="J108" s="8" t="s">
        <v>387</v>
      </c>
      <c r="K108" s="8" t="s">
        <v>73</v>
      </c>
      <c r="L108" s="9"/>
      <c r="M108" s="8" t="s">
        <v>296</v>
      </c>
      <c r="N108" s="8"/>
      <c r="O108" s="8">
        <v>40</v>
      </c>
      <c r="P108" s="9"/>
    </row>
    <row r="109" spans="1:16" ht="16.8" x14ac:dyDescent="0.3">
      <c r="A109" s="47">
        <v>46050</v>
      </c>
      <c r="B109" s="12" t="s">
        <v>378</v>
      </c>
      <c r="C109" s="12" t="s">
        <v>379</v>
      </c>
      <c r="D109" s="12" t="s">
        <v>380</v>
      </c>
      <c r="E109" s="53" t="s">
        <v>381</v>
      </c>
      <c r="F109" s="3" t="s">
        <v>103</v>
      </c>
      <c r="G109" s="3"/>
      <c r="H109" s="3" t="s">
        <v>429</v>
      </c>
      <c r="I109" s="42" t="s">
        <v>427</v>
      </c>
      <c r="J109" s="42" t="s">
        <v>382</v>
      </c>
      <c r="K109" s="12" t="s">
        <v>73</v>
      </c>
      <c r="L109" s="12" t="s">
        <v>295</v>
      </c>
      <c r="M109" s="12" t="s">
        <v>298</v>
      </c>
      <c r="N109" s="12"/>
      <c r="O109" s="12">
        <v>2</v>
      </c>
      <c r="P109" s="13"/>
    </row>
    <row r="110" spans="1:16" ht="81.599999999999994" customHeight="1" x14ac:dyDescent="0.35">
      <c r="A110" s="7">
        <v>46076</v>
      </c>
      <c r="B110" s="8" t="s">
        <v>304</v>
      </c>
      <c r="C110" s="8">
        <v>52259651</v>
      </c>
      <c r="D110" s="8" t="s">
        <v>76</v>
      </c>
      <c r="E110" s="8" t="s">
        <v>411</v>
      </c>
      <c r="F110" s="8" t="s">
        <v>32</v>
      </c>
      <c r="G110" s="8"/>
      <c r="H110" s="3" t="s">
        <v>429</v>
      </c>
      <c r="I110" s="3" t="s">
        <v>427</v>
      </c>
      <c r="J110" s="3" t="s">
        <v>412</v>
      </c>
      <c r="K110" s="8" t="s">
        <v>73</v>
      </c>
      <c r="L110" s="8" t="s">
        <v>292</v>
      </c>
      <c r="M110" s="8" t="s">
        <v>296</v>
      </c>
      <c r="N110" s="8"/>
      <c r="O110" s="26" t="s">
        <v>308</v>
      </c>
      <c r="P110" s="9"/>
    </row>
    <row r="111" spans="1:16" ht="67.2" customHeight="1" x14ac:dyDescent="0.35">
      <c r="A111" s="7">
        <v>46078</v>
      </c>
      <c r="B111" s="8" t="s">
        <v>407</v>
      </c>
      <c r="C111" s="8">
        <v>522211870</v>
      </c>
      <c r="D111" s="8" t="s">
        <v>400</v>
      </c>
      <c r="E111" s="8" t="s">
        <v>399</v>
      </c>
      <c r="F111" s="8" t="s">
        <v>32</v>
      </c>
      <c r="G111" s="8"/>
      <c r="H111" s="3" t="s">
        <v>429</v>
      </c>
      <c r="I111" s="3" t="s">
        <v>427</v>
      </c>
      <c r="J111" s="3" t="s">
        <v>406</v>
      </c>
      <c r="K111" s="8" t="s">
        <v>73</v>
      </c>
      <c r="L111" s="15" t="s">
        <v>292</v>
      </c>
      <c r="M111" s="8" t="s">
        <v>296</v>
      </c>
      <c r="N111" s="8"/>
      <c r="O111" s="9"/>
      <c r="P111" s="9"/>
    </row>
    <row r="112" spans="1:16" ht="67.2" x14ac:dyDescent="0.35">
      <c r="A112" s="7">
        <v>46078</v>
      </c>
      <c r="B112" s="8" t="s">
        <v>195</v>
      </c>
      <c r="C112" s="8">
        <v>9849466680</v>
      </c>
      <c r="D112" s="8" t="s">
        <v>67</v>
      </c>
      <c r="E112" s="8" t="s">
        <v>404</v>
      </c>
      <c r="F112" s="8" t="s">
        <v>32</v>
      </c>
      <c r="G112" s="8"/>
      <c r="H112" s="3" t="s">
        <v>429</v>
      </c>
      <c r="I112" s="58" t="s">
        <v>427</v>
      </c>
      <c r="J112" s="8" t="s">
        <v>387</v>
      </c>
      <c r="K112" s="8" t="s">
        <v>73</v>
      </c>
      <c r="L112" s="8" t="s">
        <v>371</v>
      </c>
      <c r="M112" s="8" t="s">
        <v>305</v>
      </c>
      <c r="N112" s="8"/>
      <c r="O112" s="26" t="s">
        <v>405</v>
      </c>
      <c r="P112" s="9"/>
    </row>
    <row r="113" spans="1:16" ht="16.8" x14ac:dyDescent="0.3">
      <c r="A113" s="47">
        <v>46078</v>
      </c>
      <c r="B113" s="12" t="s">
        <v>401</v>
      </c>
      <c r="C113" s="12" t="s">
        <v>385</v>
      </c>
      <c r="D113" s="12" t="s">
        <v>402</v>
      </c>
      <c r="E113" s="12" t="s">
        <v>70</v>
      </c>
      <c r="F113" s="3" t="s">
        <v>103</v>
      </c>
      <c r="G113" s="3"/>
      <c r="H113" s="3" t="s">
        <v>429</v>
      </c>
      <c r="I113" s="42" t="s">
        <v>427</v>
      </c>
      <c r="J113" s="16"/>
      <c r="K113" s="16"/>
      <c r="L113" s="16"/>
      <c r="M113" s="16"/>
      <c r="N113" s="16"/>
      <c r="O113" s="16"/>
      <c r="P113" s="16"/>
    </row>
    <row r="114" spans="1:16" ht="84" customHeight="1" x14ac:dyDescent="0.3">
      <c r="A114" s="7">
        <v>46081</v>
      </c>
      <c r="B114" s="8" t="s">
        <v>393</v>
      </c>
      <c r="C114" s="8" t="s">
        <v>392</v>
      </c>
      <c r="D114" s="8" t="s">
        <v>67</v>
      </c>
      <c r="E114" s="8" t="s">
        <v>403</v>
      </c>
      <c r="F114" s="8" t="s">
        <v>396</v>
      </c>
      <c r="G114" s="8"/>
      <c r="H114" s="3" t="s">
        <v>430</v>
      </c>
      <c r="I114" s="8" t="s">
        <v>427</v>
      </c>
      <c r="J114" s="8" t="s">
        <v>387</v>
      </c>
      <c r="K114" s="8" t="s">
        <v>73</v>
      </c>
      <c r="L114" s="15" t="s">
        <v>292</v>
      </c>
      <c r="M114" s="8" t="s">
        <v>305</v>
      </c>
      <c r="N114" s="15"/>
      <c r="O114" s="57" t="s">
        <v>327</v>
      </c>
      <c r="P114" s="56"/>
    </row>
    <row r="115" spans="1:16" ht="50.4" customHeight="1" x14ac:dyDescent="0.3">
      <c r="A115" s="7">
        <v>46083</v>
      </c>
      <c r="B115" s="8" t="s">
        <v>394</v>
      </c>
      <c r="C115" s="8" t="s">
        <v>57</v>
      </c>
      <c r="D115" s="8" t="s">
        <v>397</v>
      </c>
      <c r="E115" s="8" t="s">
        <v>409</v>
      </c>
      <c r="F115" s="8" t="s">
        <v>396</v>
      </c>
      <c r="G115" s="8"/>
      <c r="H115" s="3" t="s">
        <v>431</v>
      </c>
      <c r="I115" s="15" t="s">
        <v>427</v>
      </c>
      <c r="J115" s="15" t="s">
        <v>398</v>
      </c>
      <c r="K115" s="15" t="s">
        <v>73</v>
      </c>
      <c r="L115" s="15" t="s">
        <v>292</v>
      </c>
      <c r="M115" s="8" t="s">
        <v>298</v>
      </c>
      <c r="N115" s="15"/>
      <c r="O115" s="56"/>
      <c r="P115" s="56"/>
    </row>
    <row r="116" spans="1:16" ht="16.8" x14ac:dyDescent="0.3">
      <c r="A116" s="7">
        <v>46086</v>
      </c>
      <c r="B116" s="48" t="s">
        <v>93</v>
      </c>
      <c r="C116" s="8" t="s">
        <v>418</v>
      </c>
      <c r="D116" s="8" t="s">
        <v>419</v>
      </c>
      <c r="E116" s="8" t="s">
        <v>70</v>
      </c>
      <c r="F116" s="8" t="s">
        <v>103</v>
      </c>
      <c r="G116" s="8"/>
      <c r="H116" s="3" t="s">
        <v>428</v>
      </c>
      <c r="I116" s="16"/>
      <c r="J116" s="16"/>
      <c r="K116" s="16"/>
      <c r="L116" s="16"/>
      <c r="M116" s="16"/>
      <c r="N116" s="16"/>
      <c r="O116" s="16"/>
      <c r="P116" s="16"/>
    </row>
    <row r="117" spans="1:16" ht="16.8" x14ac:dyDescent="0.3">
      <c r="A117" s="7">
        <v>46087</v>
      </c>
      <c r="B117" s="8" t="s">
        <v>100</v>
      </c>
      <c r="C117" s="8" t="s">
        <v>365</v>
      </c>
      <c r="D117" s="8" t="s">
        <v>420</v>
      </c>
      <c r="E117" s="16"/>
      <c r="F117" s="16"/>
      <c r="G117" s="16"/>
      <c r="H117" s="8" t="s">
        <v>429</v>
      </c>
      <c r="I117" s="16"/>
      <c r="J117" s="16"/>
      <c r="K117" s="16"/>
      <c r="L117" s="16"/>
      <c r="M117" s="16"/>
      <c r="N117" s="16"/>
      <c r="O117" s="16"/>
      <c r="P117" s="16"/>
    </row>
    <row r="118" spans="1:16" ht="16.8" x14ac:dyDescent="0.3">
      <c r="A118" s="7">
        <v>46088</v>
      </c>
      <c r="B118" s="8" t="s">
        <v>422</v>
      </c>
      <c r="C118" s="8" t="s">
        <v>385</v>
      </c>
      <c r="D118" s="8" t="s">
        <v>284</v>
      </c>
      <c r="E118" s="16"/>
      <c r="F118" s="16"/>
      <c r="G118" s="16"/>
      <c r="H118" s="8" t="s">
        <v>429</v>
      </c>
      <c r="I118" s="16"/>
      <c r="J118" s="16"/>
      <c r="K118" s="16"/>
      <c r="L118" s="16"/>
      <c r="M118" s="16"/>
      <c r="N118" s="16"/>
      <c r="O118" s="16"/>
      <c r="P118" s="16"/>
    </row>
    <row r="119" spans="1:16" ht="16.8" x14ac:dyDescent="0.3">
      <c r="A119" s="7">
        <v>46079</v>
      </c>
      <c r="B119" s="8" t="s">
        <v>390</v>
      </c>
      <c r="C119" s="8" t="s">
        <v>54</v>
      </c>
      <c r="D119" s="8" t="s">
        <v>421</v>
      </c>
      <c r="E119" s="16"/>
      <c r="F119" s="16"/>
      <c r="G119" s="16"/>
      <c r="H119" s="8" t="s">
        <v>429</v>
      </c>
      <c r="I119" s="63"/>
      <c r="J119" s="16"/>
      <c r="K119" s="16"/>
      <c r="L119" s="16"/>
      <c r="M119" s="16"/>
      <c r="N119" s="16"/>
      <c r="O119" s="16"/>
      <c r="P119" s="16"/>
    </row>
    <row r="120" spans="1:16" ht="16.8" x14ac:dyDescent="0.35">
      <c r="A120" s="64">
        <v>46108</v>
      </c>
      <c r="B120" s="64" t="s">
        <v>435</v>
      </c>
      <c r="C120" s="64" t="s">
        <v>57</v>
      </c>
      <c r="D120" s="64" t="s">
        <v>436</v>
      </c>
      <c r="E120" s="38"/>
      <c r="F120" s="64" t="s">
        <v>440</v>
      </c>
      <c r="G120" s="64"/>
      <c r="H120" s="64" t="s">
        <v>438</v>
      </c>
      <c r="I120" s="38"/>
      <c r="J120" s="38"/>
      <c r="K120" s="38"/>
      <c r="L120" s="38"/>
      <c r="M120" s="38"/>
      <c r="N120" s="38"/>
      <c r="O120" s="38"/>
      <c r="P120" s="38"/>
    </row>
    <row r="121" spans="1:16" ht="16.8" x14ac:dyDescent="0.35">
      <c r="A121" s="64">
        <v>46106</v>
      </c>
      <c r="B121" s="64" t="s">
        <v>390</v>
      </c>
      <c r="C121" s="64" t="s">
        <v>54</v>
      </c>
      <c r="D121" s="64" t="s">
        <v>437</v>
      </c>
      <c r="E121" s="64" t="s">
        <v>70</v>
      </c>
      <c r="F121" s="64" t="s">
        <v>439</v>
      </c>
      <c r="G121" s="64"/>
      <c r="H121" s="7" t="s">
        <v>438</v>
      </c>
      <c r="I121" s="38"/>
      <c r="J121" s="38"/>
      <c r="K121" s="38"/>
      <c r="L121" s="38"/>
      <c r="M121" s="38"/>
      <c r="N121" s="38"/>
      <c r="O121" s="38"/>
      <c r="P121" s="38"/>
    </row>
    <row r="122" spans="1:16" ht="16.8" x14ac:dyDescent="0.35">
      <c r="A122" s="64">
        <v>46105</v>
      </c>
      <c r="B122" s="64" t="s">
        <v>441</v>
      </c>
      <c r="C122" s="64" t="s">
        <v>442</v>
      </c>
      <c r="D122" s="64" t="s">
        <v>443</v>
      </c>
      <c r="E122" s="64" t="s">
        <v>70</v>
      </c>
      <c r="F122" s="64" t="s">
        <v>439</v>
      </c>
      <c r="G122" s="64"/>
      <c r="H122" s="64" t="s">
        <v>429</v>
      </c>
      <c r="I122" s="38"/>
      <c r="J122" s="38"/>
      <c r="K122" s="38"/>
      <c r="L122" s="38"/>
      <c r="M122" s="38"/>
      <c r="N122" s="38"/>
      <c r="O122" s="38"/>
      <c r="P122" s="38"/>
    </row>
    <row r="123" spans="1:16" ht="16.8" x14ac:dyDescent="0.35">
      <c r="A123" s="7">
        <v>46105</v>
      </c>
      <c r="B123" s="7" t="s">
        <v>444</v>
      </c>
      <c r="C123" s="7" t="s">
        <v>446</v>
      </c>
      <c r="D123" s="7" t="s">
        <v>445</v>
      </c>
      <c r="E123" s="7" t="s">
        <v>70</v>
      </c>
      <c r="F123" s="64" t="s">
        <v>439</v>
      </c>
      <c r="G123" s="64"/>
      <c r="H123" s="7" t="s">
        <v>438</v>
      </c>
      <c r="I123" s="38"/>
      <c r="J123" s="38"/>
      <c r="K123" s="38"/>
      <c r="L123" s="7" t="s">
        <v>292</v>
      </c>
      <c r="M123" s="7" t="s">
        <v>447</v>
      </c>
      <c r="N123" s="38"/>
      <c r="O123" s="38"/>
      <c r="P123" s="38"/>
    </row>
    <row r="124" spans="1:16" ht="16.8" x14ac:dyDescent="0.3">
      <c r="A124" s="67"/>
      <c r="B124" s="68" t="s">
        <v>391</v>
      </c>
      <c r="C124" s="7">
        <v>52223167</v>
      </c>
      <c r="D124" s="69" t="s">
        <v>66</v>
      </c>
      <c r="E124" s="68" t="s">
        <v>449</v>
      </c>
      <c r="F124" s="68" t="s">
        <v>439</v>
      </c>
      <c r="G124" s="69" t="s">
        <v>450</v>
      </c>
      <c r="H124" s="7" t="s">
        <v>431</v>
      </c>
      <c r="I124" s="38"/>
      <c r="J124" s="38"/>
      <c r="K124" s="38"/>
      <c r="L124" s="38"/>
      <c r="M124" s="38"/>
      <c r="N124" s="38"/>
      <c r="O124" s="38"/>
      <c r="P124" s="38"/>
    </row>
    <row r="125" spans="1:16" s="70" customFormat="1" ht="15" x14ac:dyDescent="0.3">
      <c r="A125" s="78">
        <v>46127</v>
      </c>
      <c r="B125" s="74" t="s">
        <v>452</v>
      </c>
      <c r="C125" s="73">
        <v>52223167</v>
      </c>
      <c r="D125" s="79"/>
      <c r="E125" s="73" t="s">
        <v>453</v>
      </c>
      <c r="F125" s="68" t="s">
        <v>439</v>
      </c>
      <c r="G125" s="73">
        <v>9</v>
      </c>
      <c r="H125" s="73" t="s">
        <v>438</v>
      </c>
      <c r="I125" s="72"/>
      <c r="J125" s="72"/>
      <c r="K125" s="72"/>
      <c r="L125" s="72"/>
      <c r="M125" s="72"/>
      <c r="N125" s="72"/>
      <c r="O125" s="72"/>
      <c r="P125" s="72"/>
    </row>
    <row r="126" spans="1:16" s="70" customFormat="1" x14ac:dyDescent="0.3">
      <c r="A126" s="74">
        <v>46055</v>
      </c>
      <c r="B126" s="75" t="s">
        <v>389</v>
      </c>
      <c r="C126" s="73">
        <v>46358679</v>
      </c>
      <c r="D126" s="72" t="s">
        <v>451</v>
      </c>
      <c r="E126" s="72"/>
      <c r="F126" s="72"/>
      <c r="G126" s="73" t="s">
        <v>454</v>
      </c>
      <c r="H126" s="73" t="s">
        <v>429</v>
      </c>
      <c r="I126" s="72"/>
      <c r="J126" s="72"/>
      <c r="K126" s="72"/>
      <c r="L126" s="72"/>
      <c r="M126" s="72"/>
      <c r="N126" s="72"/>
      <c r="O126" s="72"/>
      <c r="P126" s="72"/>
    </row>
    <row r="127" spans="1:16" s="70" customFormat="1" x14ac:dyDescent="0.3">
      <c r="A127" s="71"/>
      <c r="B127" s="72"/>
      <c r="C127" s="72"/>
      <c r="D127" s="72"/>
      <c r="E127" s="72"/>
      <c r="F127" s="72"/>
      <c r="G127" s="72"/>
      <c r="H127" s="72"/>
      <c r="I127" s="72"/>
      <c r="J127" s="72"/>
      <c r="K127" s="72"/>
      <c r="L127" s="72"/>
      <c r="M127" s="72"/>
      <c r="N127" s="72"/>
      <c r="O127" s="72"/>
      <c r="P127" s="72"/>
    </row>
    <row r="128" spans="1:16" s="70" customFormat="1" x14ac:dyDescent="0.3">
      <c r="A128" s="71"/>
      <c r="B128" s="72"/>
      <c r="C128" s="72"/>
      <c r="D128" s="72"/>
      <c r="E128" s="72"/>
      <c r="F128" s="72"/>
      <c r="G128" s="72"/>
      <c r="H128" s="72"/>
      <c r="I128" s="72"/>
      <c r="J128" s="72"/>
      <c r="K128" s="72"/>
      <c r="L128" s="72"/>
      <c r="M128" s="72"/>
      <c r="N128" s="72"/>
      <c r="O128" s="72"/>
      <c r="P128" s="72"/>
    </row>
    <row r="129" spans="1:16" x14ac:dyDescent="0.3">
      <c r="A129" s="71"/>
      <c r="B129" s="72"/>
      <c r="C129" s="72"/>
      <c r="D129" s="72"/>
      <c r="E129" s="72"/>
      <c r="F129" s="72"/>
      <c r="G129" s="72"/>
      <c r="H129" s="72"/>
      <c r="I129" s="72"/>
      <c r="J129" s="72"/>
      <c r="K129" s="72"/>
      <c r="L129" s="72"/>
      <c r="M129" s="72"/>
      <c r="N129" s="72"/>
      <c r="O129" s="72"/>
      <c r="P129" s="72"/>
    </row>
    <row r="130" spans="1:16" x14ac:dyDescent="0.3">
      <c r="A130" s="71"/>
      <c r="B130" s="72"/>
      <c r="C130" s="72"/>
      <c r="D130" s="72"/>
      <c r="E130" s="72"/>
      <c r="F130" s="72"/>
      <c r="G130" s="72"/>
      <c r="H130" s="72"/>
      <c r="I130" s="72"/>
      <c r="J130" s="72"/>
      <c r="K130" s="72"/>
      <c r="L130" s="72"/>
      <c r="M130" s="72"/>
      <c r="N130" s="72"/>
      <c r="O130" s="72"/>
      <c r="P130" s="72"/>
    </row>
    <row r="131" spans="1:16" x14ac:dyDescent="0.3">
      <c r="A131" s="71"/>
      <c r="B131" s="72"/>
      <c r="C131" s="72"/>
      <c r="D131" s="72"/>
      <c r="E131" s="72"/>
      <c r="F131" s="72"/>
      <c r="G131" s="72"/>
      <c r="H131" s="72"/>
      <c r="I131" s="72"/>
      <c r="J131" s="72"/>
      <c r="K131" s="72"/>
      <c r="L131" s="72"/>
      <c r="M131" s="72"/>
      <c r="N131" s="72"/>
      <c r="O131" s="72"/>
      <c r="P131" s="72"/>
    </row>
    <row r="132" spans="1:16" x14ac:dyDescent="0.3">
      <c r="A132" s="71"/>
      <c r="B132" s="72"/>
      <c r="C132" s="72"/>
      <c r="D132" s="72"/>
      <c r="E132" s="72"/>
      <c r="F132" s="72"/>
      <c r="G132" s="72"/>
      <c r="H132" s="72"/>
      <c r="I132" s="72"/>
      <c r="J132" s="72"/>
      <c r="K132" s="72"/>
      <c r="L132" s="72"/>
      <c r="M132" s="72"/>
      <c r="N132" s="72"/>
      <c r="O132" s="72"/>
      <c r="P132" s="72"/>
    </row>
  </sheetData>
  <autoFilter ref="A6:P123" xr:uid="{F76D9435-EA32-450D-87F4-670906B38CAB}">
    <filterColumn colId="0">
      <filters>
        <dateGroupItem year="2026" dateTimeGrouping="year"/>
        <dateGroupItem year="2025" month="2" dateTimeGrouping="month"/>
        <dateGroupItem year="2025" month="4" dateTimeGrouping="month"/>
        <dateGroupItem year="2025" month="5" dateTimeGrouping="month"/>
        <dateGroupItem year="2025" month="6" dateTimeGrouping="month"/>
        <dateGroupItem year="2025" month="7" dateTimeGrouping="month"/>
        <dateGroupItem year="2025" month="9" dateTimeGrouping="month"/>
        <dateGroupItem year="2025" month="10" dateTimeGrouping="month"/>
        <dateGroupItem year="2025" month="11" dateTimeGrouping="month"/>
        <dateGroupItem year="2025" month="12" dateTimeGrouping="month"/>
      </filters>
    </filterColumn>
    <sortState xmlns:xlrd2="http://schemas.microsoft.com/office/spreadsheetml/2017/richdata2" ref="A58:P115">
      <sortCondition ref="A6:A115"/>
    </sortState>
  </autoFilter>
  <mergeCells count="1">
    <mergeCell ref="A1:E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F3D23-643D-401E-8625-BEBB2914B9A4}">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FCA claims REF</vt:lpstr>
      <vt:lpstr>Total Claims April-2025,</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Mootez Douihech</dc:creator>
  <cp:lastModifiedBy>hp</cp:lastModifiedBy>
  <dcterms:created xsi:type="dcterms:W3CDTF">2015-06-05T18:19:34Z</dcterms:created>
  <dcterms:modified xsi:type="dcterms:W3CDTF">2026-04-20T12:54:24Z</dcterms:modified>
</cp:coreProperties>
</file>